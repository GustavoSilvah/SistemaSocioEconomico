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10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1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12.xml" ContentType="application/vnd.openxmlformats-officedocument.themeOverrid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3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4.xml" ContentType="application/vnd.openxmlformats-officedocument.themeOverrid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15.xml" ContentType="application/vnd.openxmlformats-officedocument.themeOverrid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6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17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18.xml" ContentType="application/vnd.openxmlformats-officedocument.themeOverrid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19.xml" ContentType="application/vnd.openxmlformats-officedocument.themeOverrid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20.xml" ContentType="application/vnd.openxmlformats-officedocument.themeOverrid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21.xml" ContentType="application/vnd.openxmlformats-officedocument.themeOverrid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22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23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24.xml" ContentType="application/vnd.openxmlformats-officedocument.themeOverrid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25.xml" ContentType="application/vnd.openxmlformats-officedocument.themeOverrid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26.xml" ContentType="application/vnd.openxmlformats-officedocument.themeOverrid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27.xml" ContentType="application/vnd.openxmlformats-officedocument.themeOverrid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28.xml" ContentType="application/vnd.openxmlformats-officedocument.themeOverrid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29.xml" ContentType="application/vnd.openxmlformats-officedocument.themeOverrid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30.xml" ContentType="application/vnd.openxmlformats-officedocument.themeOverrid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31.xml" ContentType="application/vnd.openxmlformats-officedocument.themeOverrid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32.xml" ContentType="application/vnd.openxmlformats-officedocument.themeOverrid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33.xml" ContentType="application/vnd.openxmlformats-officedocument.themeOverrid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34.xml" ContentType="application/vnd.openxmlformats-officedocument.themeOverrid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35.xml" ContentType="application/vnd.openxmlformats-officedocument.themeOverrid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gusta\Desktop\PerfilSocioEconomico\"/>
    </mc:Choice>
  </mc:AlternateContent>
  <xr:revisionPtr revIDLastSave="0" documentId="13_ncr:1_{F2ABB6C5-37B1-4BBF-B707-16DDE1783E7F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ashboard" sheetId="1" r:id="rId1"/>
    <sheet name="Base" sheetId="2" r:id="rId2"/>
    <sheet name="Análise" sheetId="3" state="hidden" r:id="rId3"/>
    <sheet name="Lista" sheetId="4" state="hidden" r:id="rId4"/>
  </sheets>
  <definedNames>
    <definedName name="_xlnm._FilterDatabase" localSheetId="2" hidden="1">Análise!$L$2:$Q$6</definedName>
    <definedName name="_xlnm._FilterDatabase" localSheetId="1" hidden="1">Base!$A$9:$DO$75</definedName>
    <definedName name="Cursos">Lista!$A$1:$A$5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V2279" i="2" l="1"/>
  <c r="BV2280" i="2"/>
  <c r="BV2281" i="2"/>
  <c r="BV2282" i="2"/>
  <c r="BV2283" i="2"/>
  <c r="BV2284" i="2"/>
  <c r="BV2285" i="2"/>
  <c r="BV2286" i="2"/>
  <c r="BV2287" i="2"/>
  <c r="BV2288" i="2"/>
  <c r="BV2289" i="2"/>
  <c r="BV2290" i="2"/>
  <c r="BV2291" i="2"/>
  <c r="BV2292" i="2"/>
  <c r="BV2293" i="2"/>
  <c r="BV2294" i="2"/>
  <c r="BV2295" i="2"/>
  <c r="BV2296" i="2"/>
  <c r="BV2297" i="2"/>
  <c r="BV2298" i="2"/>
  <c r="BV2299" i="2"/>
  <c r="BV2300" i="2"/>
  <c r="BV2301" i="2"/>
  <c r="BV2302" i="2"/>
  <c r="BV2303" i="2"/>
  <c r="BV2304" i="2"/>
  <c r="BV2305" i="2"/>
  <c r="BV2306" i="2"/>
  <c r="BV2307" i="2"/>
  <c r="BV2308" i="2"/>
  <c r="BV2309" i="2"/>
  <c r="BV2310" i="2"/>
  <c r="BV2311" i="2"/>
  <c r="BV2312" i="2"/>
  <c r="BV2313" i="2"/>
  <c r="BV2314" i="2"/>
  <c r="BV2315" i="2"/>
  <c r="BV2316" i="2"/>
  <c r="BV2317" i="2"/>
  <c r="BV2318" i="2"/>
  <c r="BV2319" i="2"/>
  <c r="BV2320" i="2"/>
  <c r="BV2321" i="2"/>
  <c r="BV2322" i="2"/>
  <c r="BV2323" i="2"/>
  <c r="BV2324" i="2"/>
  <c r="BV2325" i="2"/>
  <c r="BV2326" i="2"/>
  <c r="BV2327" i="2"/>
  <c r="BV2328" i="2"/>
  <c r="BV2329" i="2"/>
  <c r="BV2330" i="2"/>
  <c r="BV2331" i="2"/>
  <c r="BV2332" i="2"/>
  <c r="BV2333" i="2"/>
  <c r="BV2334" i="2"/>
  <c r="BV2335" i="2"/>
  <c r="BV2336" i="2"/>
  <c r="BV2337" i="2"/>
  <c r="BV2338" i="2"/>
  <c r="BV2339" i="2"/>
  <c r="BV2340" i="2"/>
  <c r="BV2341" i="2"/>
  <c r="BV2342" i="2"/>
  <c r="BV2343" i="2"/>
  <c r="BV2344" i="2"/>
  <c r="BV2345" i="2"/>
  <c r="BV2346" i="2"/>
  <c r="BV2347" i="2"/>
  <c r="BV2348" i="2"/>
  <c r="BV2349" i="2"/>
  <c r="BV2350" i="2"/>
  <c r="BV2351" i="2"/>
  <c r="BV2352" i="2"/>
  <c r="BV2353" i="2"/>
  <c r="BV2354" i="2"/>
  <c r="BV2355" i="2"/>
  <c r="BV2356" i="2"/>
  <c r="BV2357" i="2"/>
  <c r="BV2358" i="2"/>
  <c r="BV2359" i="2"/>
  <c r="BV2360" i="2"/>
  <c r="BV2361" i="2"/>
  <c r="BV2362" i="2"/>
  <c r="BV2363" i="2"/>
  <c r="BV2364" i="2"/>
  <c r="BV2365" i="2"/>
  <c r="BV2366" i="2"/>
  <c r="BV2367" i="2"/>
  <c r="BV2368" i="2"/>
  <c r="BV2369" i="2"/>
  <c r="BV2370" i="2"/>
  <c r="BV2371" i="2"/>
  <c r="BV2372" i="2"/>
  <c r="BV2373" i="2"/>
  <c r="BV2374" i="2"/>
  <c r="BV2375" i="2"/>
  <c r="BV2376" i="2"/>
  <c r="BV2377" i="2"/>
  <c r="BV2378" i="2"/>
  <c r="BV2379" i="2"/>
  <c r="BV2380" i="2"/>
  <c r="BV2381" i="2"/>
  <c r="BV2382" i="2"/>
  <c r="BV2383" i="2"/>
  <c r="BV2384" i="2"/>
  <c r="BV2385" i="2"/>
  <c r="BV2386" i="2"/>
  <c r="BV2387" i="2"/>
  <c r="BV2388" i="2"/>
  <c r="BV2389" i="2"/>
  <c r="BV2390" i="2"/>
  <c r="BV2391" i="2"/>
  <c r="BV2392" i="2"/>
  <c r="BV2393" i="2"/>
  <c r="BV2394" i="2"/>
  <c r="BV2395" i="2"/>
  <c r="BV2396" i="2"/>
  <c r="BV2397" i="2"/>
  <c r="BV2398" i="2"/>
  <c r="BV2399" i="2"/>
  <c r="BV2400" i="2"/>
  <c r="BV2401" i="2"/>
  <c r="BV2402" i="2"/>
  <c r="BV2403" i="2"/>
  <c r="BV2404" i="2"/>
  <c r="BV2405" i="2"/>
  <c r="BV2406" i="2"/>
  <c r="BV2407" i="2"/>
  <c r="BV2408" i="2"/>
  <c r="BV2409" i="2"/>
  <c r="BV2410" i="2"/>
  <c r="BV2411" i="2"/>
  <c r="BV2412" i="2"/>
  <c r="BV2413" i="2"/>
  <c r="BV2414" i="2"/>
  <c r="BV2415" i="2"/>
  <c r="BV2416" i="2"/>
  <c r="BV2417" i="2"/>
  <c r="BV2418" i="2"/>
  <c r="BV2419" i="2"/>
  <c r="BV2420" i="2"/>
  <c r="BV2421" i="2"/>
  <c r="BV2422" i="2"/>
  <c r="BV2423" i="2"/>
  <c r="BV2424" i="2"/>
  <c r="BV2425" i="2"/>
  <c r="BV2426" i="2"/>
  <c r="BV2427" i="2"/>
  <c r="BV2428" i="2"/>
  <c r="BV2429" i="2"/>
  <c r="BV2430" i="2"/>
  <c r="BV2431" i="2"/>
  <c r="BV2432" i="2"/>
  <c r="BV2433" i="2"/>
  <c r="BV2434" i="2"/>
  <c r="BV2435" i="2"/>
  <c r="BV2436" i="2"/>
  <c r="BV2437" i="2"/>
  <c r="BV2438" i="2"/>
  <c r="BV2439" i="2"/>
  <c r="BV2440" i="2"/>
  <c r="BV2441" i="2"/>
  <c r="BV2442" i="2"/>
  <c r="BV2443" i="2"/>
  <c r="BV2444" i="2"/>
  <c r="BV2445" i="2"/>
  <c r="BV2446" i="2"/>
  <c r="BV2447" i="2"/>
  <c r="BV2448" i="2"/>
  <c r="BV2449" i="2"/>
  <c r="BV2450" i="2"/>
  <c r="BV2451" i="2"/>
  <c r="BV2452" i="2"/>
  <c r="BV2453" i="2"/>
  <c r="BV2454" i="2"/>
  <c r="BV2455" i="2"/>
  <c r="BV2456" i="2"/>
  <c r="BV2457" i="2"/>
  <c r="BV2458" i="2"/>
  <c r="BV2459" i="2"/>
  <c r="BV2460" i="2"/>
  <c r="BV2461" i="2"/>
  <c r="BV2462" i="2"/>
  <c r="BV2463" i="2"/>
  <c r="BV2464" i="2"/>
  <c r="BV2465" i="2"/>
  <c r="BV2466" i="2"/>
  <c r="BV2467" i="2"/>
  <c r="BV2468" i="2"/>
  <c r="BV2469" i="2"/>
  <c r="BV2470" i="2"/>
  <c r="BV2471" i="2"/>
  <c r="BV2472" i="2"/>
  <c r="BV2473" i="2"/>
  <c r="BV2474" i="2"/>
  <c r="BV2475" i="2"/>
  <c r="BV2476" i="2"/>
  <c r="BV2477" i="2"/>
  <c r="BV2478" i="2"/>
  <c r="BV2479" i="2"/>
  <c r="BV2480" i="2"/>
  <c r="BV2481" i="2"/>
  <c r="BV2482" i="2"/>
  <c r="BV2483" i="2"/>
  <c r="BV2484" i="2"/>
  <c r="BV2485" i="2"/>
  <c r="BV2486" i="2"/>
  <c r="BV2487" i="2"/>
  <c r="BV2488" i="2"/>
  <c r="BV2489" i="2"/>
  <c r="BV2490" i="2"/>
  <c r="BV2491" i="2"/>
  <c r="BV2492" i="2"/>
  <c r="BV2493" i="2"/>
  <c r="BV2494" i="2"/>
  <c r="BV2495" i="2"/>
  <c r="BV2496" i="2"/>
  <c r="BV2497" i="2"/>
  <c r="BV2498" i="2"/>
  <c r="BV2499" i="2"/>
  <c r="BV2500" i="2"/>
  <c r="BV2501" i="2"/>
  <c r="BV2502" i="2"/>
  <c r="BV2503" i="2"/>
  <c r="BV2504" i="2"/>
  <c r="BV2505" i="2"/>
  <c r="BV2506" i="2"/>
  <c r="BV2507" i="2"/>
  <c r="BV2508" i="2"/>
  <c r="BV2509" i="2"/>
  <c r="BV2510" i="2"/>
  <c r="BV2511" i="2"/>
  <c r="BV2512" i="2"/>
  <c r="BV2513" i="2"/>
  <c r="BV2514" i="2"/>
  <c r="BV2515" i="2"/>
  <c r="BV2516" i="2"/>
  <c r="BV2517" i="2"/>
  <c r="BV2518" i="2"/>
  <c r="BV2519" i="2"/>
  <c r="BV2520" i="2"/>
  <c r="BV2521" i="2"/>
  <c r="BV2522" i="2"/>
  <c r="BV2523" i="2"/>
  <c r="BV2524" i="2"/>
  <c r="BV2525" i="2"/>
  <c r="BV2526" i="2"/>
  <c r="BV2527" i="2"/>
  <c r="BV2528" i="2"/>
  <c r="BV2529" i="2"/>
  <c r="BV2530" i="2"/>
  <c r="BV2531" i="2"/>
  <c r="BV2532" i="2"/>
  <c r="BV2533" i="2"/>
  <c r="BV2534" i="2"/>
  <c r="BV2535" i="2"/>
  <c r="BV2536" i="2"/>
  <c r="BV2537" i="2"/>
  <c r="BV2538" i="2"/>
  <c r="BV2539" i="2"/>
  <c r="BV2540" i="2"/>
  <c r="BV2541" i="2"/>
  <c r="BV2542" i="2"/>
  <c r="BV2543" i="2"/>
  <c r="BV2544" i="2"/>
  <c r="BV2545" i="2"/>
  <c r="BV2546" i="2"/>
  <c r="BV2547" i="2"/>
  <c r="BV2548" i="2"/>
  <c r="BV2549" i="2"/>
  <c r="BV2550" i="2"/>
  <c r="BV2551" i="2"/>
  <c r="BV2552" i="2"/>
  <c r="BV2553" i="2"/>
  <c r="BV2554" i="2"/>
  <c r="BV2555" i="2"/>
  <c r="BV2556" i="2"/>
  <c r="BV2557" i="2"/>
  <c r="BV2558" i="2"/>
  <c r="BV2559" i="2"/>
  <c r="BV2560" i="2"/>
  <c r="BV2561" i="2"/>
  <c r="BV2562" i="2"/>
  <c r="BV2563" i="2"/>
  <c r="BV2564" i="2"/>
  <c r="BV2565" i="2"/>
  <c r="BV2566" i="2"/>
  <c r="BV2567" i="2"/>
  <c r="BV2568" i="2"/>
  <c r="BV2569" i="2"/>
  <c r="BV2570" i="2"/>
  <c r="BV2571" i="2"/>
  <c r="BV2572" i="2"/>
  <c r="BV2573" i="2"/>
  <c r="BV2574" i="2"/>
  <c r="BV2575" i="2"/>
  <c r="BV2576" i="2"/>
  <c r="BV2577" i="2"/>
  <c r="BV2578" i="2"/>
  <c r="BV2579" i="2"/>
  <c r="BV2580" i="2"/>
  <c r="BV2581" i="2"/>
  <c r="BV2582" i="2"/>
  <c r="BV2583" i="2"/>
  <c r="BV2584" i="2"/>
  <c r="BV2585" i="2"/>
  <c r="BV2586" i="2"/>
  <c r="BV2587" i="2"/>
  <c r="BV2588" i="2"/>
  <c r="BV2589" i="2"/>
  <c r="BV2590" i="2"/>
  <c r="BV2591" i="2"/>
  <c r="BV2592" i="2"/>
  <c r="BV2593" i="2"/>
  <c r="BV2594" i="2"/>
  <c r="BV2595" i="2"/>
  <c r="BV2596" i="2"/>
  <c r="BV2597" i="2"/>
  <c r="BV2598" i="2"/>
  <c r="BV2599" i="2"/>
  <c r="BV2600" i="2"/>
  <c r="BV2601" i="2"/>
  <c r="BV2602" i="2"/>
  <c r="BV2603" i="2"/>
  <c r="BV2604" i="2"/>
  <c r="BV2605" i="2"/>
  <c r="BV2606" i="2"/>
  <c r="BV2607" i="2"/>
  <c r="BV2608" i="2"/>
  <c r="BV2609" i="2"/>
  <c r="BV2610" i="2"/>
  <c r="BV2611" i="2"/>
  <c r="BV2612" i="2"/>
  <c r="BV2613" i="2"/>
  <c r="BV2614" i="2"/>
  <c r="BV2615" i="2"/>
  <c r="BV2616" i="2"/>
  <c r="BV2617" i="2"/>
  <c r="BV2618" i="2"/>
  <c r="BV2619" i="2"/>
  <c r="BV2620" i="2"/>
  <c r="BV2621" i="2"/>
  <c r="BV2622" i="2"/>
  <c r="BV2623" i="2"/>
  <c r="BV2624" i="2"/>
  <c r="BV2625" i="2"/>
  <c r="BV2626" i="2"/>
  <c r="BV2627" i="2"/>
  <c r="BV2628" i="2"/>
  <c r="BV2629" i="2"/>
  <c r="BV2630" i="2"/>
  <c r="BV2631" i="2"/>
  <c r="BV2632" i="2"/>
  <c r="BV2633" i="2"/>
  <c r="BV2634" i="2"/>
  <c r="BV2635" i="2"/>
  <c r="BV2636" i="2"/>
  <c r="BV2637" i="2"/>
  <c r="BV2638" i="2"/>
  <c r="BV2639" i="2"/>
  <c r="BV2640" i="2"/>
  <c r="BV2641" i="2"/>
  <c r="BV2642" i="2"/>
  <c r="BV2643" i="2"/>
  <c r="BV2644" i="2"/>
  <c r="BV2645" i="2"/>
  <c r="BV2646" i="2"/>
  <c r="BV2647" i="2"/>
  <c r="BV2648" i="2"/>
  <c r="BV2649" i="2"/>
  <c r="BV2650" i="2"/>
  <c r="BV2651" i="2"/>
  <c r="BV2652" i="2"/>
  <c r="BV2653" i="2"/>
  <c r="BV2654" i="2"/>
  <c r="BV2655" i="2"/>
  <c r="BV2656" i="2"/>
  <c r="BV2657" i="2"/>
  <c r="BV2658" i="2"/>
  <c r="BV2659" i="2"/>
  <c r="BV2660" i="2"/>
  <c r="BV2661" i="2"/>
  <c r="BV2662" i="2"/>
  <c r="BV2663" i="2"/>
  <c r="BV2664" i="2"/>
  <c r="BV2665" i="2"/>
  <c r="BV2666" i="2"/>
  <c r="BV2667" i="2"/>
  <c r="BV2668" i="2"/>
  <c r="BV2669" i="2"/>
  <c r="BV2670" i="2"/>
  <c r="BV2671" i="2"/>
  <c r="BV2672" i="2"/>
  <c r="BV2673" i="2"/>
  <c r="BV2674" i="2"/>
  <c r="BV2675" i="2"/>
  <c r="BV2676" i="2"/>
  <c r="BV2677" i="2"/>
  <c r="BV2678" i="2"/>
  <c r="BV2679" i="2"/>
  <c r="BV2680" i="2"/>
  <c r="BV2681" i="2"/>
  <c r="BV2682" i="2"/>
  <c r="BV2683" i="2"/>
  <c r="BV2684" i="2"/>
  <c r="BV2685" i="2"/>
  <c r="BV2686" i="2"/>
  <c r="BV2687" i="2"/>
  <c r="BV2688" i="2"/>
  <c r="BV2689" i="2"/>
  <c r="BV2690" i="2"/>
  <c r="BV2691" i="2"/>
  <c r="BV2692" i="2"/>
  <c r="BV2693" i="2"/>
  <c r="BV2694" i="2"/>
  <c r="BV2695" i="2"/>
  <c r="BV2696" i="2"/>
  <c r="BV2697" i="2"/>
  <c r="BV2698" i="2"/>
  <c r="BV2699" i="2"/>
  <c r="BV2700" i="2"/>
  <c r="BV2701" i="2"/>
  <c r="BV2702" i="2"/>
  <c r="BV2703" i="2"/>
  <c r="BV2704" i="2"/>
  <c r="BV2705" i="2"/>
  <c r="BV2706" i="2"/>
  <c r="BV2707" i="2"/>
  <c r="BV2708" i="2"/>
  <c r="BV2709" i="2"/>
  <c r="BV2710" i="2"/>
  <c r="BV2711" i="2"/>
  <c r="BV2712" i="2"/>
  <c r="BV2713" i="2"/>
  <c r="BV2714" i="2"/>
  <c r="BV2715" i="2"/>
  <c r="BV2716" i="2"/>
  <c r="BV2717" i="2"/>
  <c r="BV2718" i="2"/>
  <c r="BV2719" i="2"/>
  <c r="BV2720" i="2"/>
  <c r="BV2721" i="2"/>
  <c r="BV2722" i="2"/>
  <c r="BV2723" i="2"/>
  <c r="BV2724" i="2"/>
  <c r="BV2725" i="2"/>
  <c r="BV2726" i="2"/>
  <c r="BV2727" i="2"/>
  <c r="BV2728" i="2"/>
  <c r="BV2729" i="2"/>
  <c r="BV2730" i="2"/>
  <c r="BV2731" i="2"/>
  <c r="BV2732" i="2"/>
  <c r="BV2733" i="2"/>
  <c r="BV2734" i="2"/>
  <c r="BV2735" i="2"/>
  <c r="BV2736" i="2"/>
  <c r="BV2737" i="2"/>
  <c r="BV2738" i="2"/>
  <c r="BV2739" i="2"/>
  <c r="BV2740" i="2"/>
  <c r="BV2741" i="2"/>
  <c r="BV2742" i="2"/>
  <c r="BV2743" i="2"/>
  <c r="BV2744" i="2"/>
  <c r="BV2745" i="2"/>
  <c r="BV2746" i="2"/>
  <c r="BV2747" i="2"/>
  <c r="BV2748" i="2"/>
  <c r="BV2749" i="2"/>
  <c r="BV2750" i="2"/>
  <c r="BV2751" i="2"/>
  <c r="BV2752" i="2"/>
  <c r="BV2753" i="2"/>
  <c r="BV2754" i="2"/>
  <c r="BV2755" i="2"/>
  <c r="BV2756" i="2"/>
  <c r="BV2757" i="2"/>
  <c r="BV2758" i="2"/>
  <c r="BV2759" i="2"/>
  <c r="BV2760" i="2"/>
  <c r="BV2761" i="2"/>
  <c r="BV2762" i="2"/>
  <c r="BV2763" i="2"/>
  <c r="BV2764" i="2"/>
  <c r="BV2765" i="2"/>
  <c r="BV2766" i="2"/>
  <c r="BV2767" i="2"/>
  <c r="BV2768" i="2"/>
  <c r="BV2769" i="2"/>
  <c r="BV2770" i="2"/>
  <c r="BV2771" i="2"/>
  <c r="BV2772" i="2"/>
  <c r="BV2773" i="2"/>
  <c r="BV2774" i="2"/>
  <c r="BV2775" i="2"/>
  <c r="BV2776" i="2"/>
  <c r="BV2777" i="2"/>
  <c r="BV2778" i="2"/>
  <c r="BV2779" i="2"/>
  <c r="BV2780" i="2"/>
  <c r="BV2781" i="2"/>
  <c r="BV2782" i="2"/>
  <c r="BV2783" i="2"/>
  <c r="BV2784" i="2"/>
  <c r="BV2785" i="2"/>
  <c r="BV2786" i="2"/>
  <c r="BV2787" i="2"/>
  <c r="BV2788" i="2"/>
  <c r="BV2789" i="2"/>
  <c r="BV2790" i="2"/>
  <c r="BV2791" i="2"/>
  <c r="BV2792" i="2"/>
  <c r="BV2793" i="2"/>
  <c r="BV2794" i="2"/>
  <c r="BV2795" i="2"/>
  <c r="BV2796" i="2"/>
  <c r="BV2797" i="2"/>
  <c r="BV2798" i="2"/>
  <c r="BV2799" i="2"/>
  <c r="BV2800" i="2"/>
  <c r="BV2801" i="2"/>
  <c r="BV2802" i="2"/>
  <c r="BV2803" i="2"/>
  <c r="BV2804" i="2"/>
  <c r="BV2805" i="2"/>
  <c r="BV2806" i="2"/>
  <c r="BV2807" i="2"/>
  <c r="BV2808" i="2"/>
  <c r="BV2809" i="2"/>
  <c r="BV2810" i="2"/>
  <c r="BV2811" i="2"/>
  <c r="BV2812" i="2"/>
  <c r="BV2813" i="2"/>
  <c r="BV2814" i="2"/>
  <c r="BV2815" i="2"/>
  <c r="BV2816" i="2"/>
  <c r="BV2817" i="2"/>
  <c r="BV2818" i="2"/>
  <c r="BV2819" i="2"/>
  <c r="BV2820" i="2"/>
  <c r="BV2821" i="2"/>
  <c r="BV2822" i="2"/>
  <c r="BV2823" i="2"/>
  <c r="BV2824" i="2"/>
  <c r="BV2825" i="2"/>
  <c r="BV2826" i="2"/>
  <c r="BV2827" i="2"/>
  <c r="BV2828" i="2"/>
  <c r="BV2829" i="2"/>
  <c r="BV2830" i="2"/>
  <c r="BV2831" i="2"/>
  <c r="BV2832" i="2"/>
  <c r="BV2833" i="2"/>
  <c r="BV2834" i="2"/>
  <c r="BV2835" i="2"/>
  <c r="BV2836" i="2"/>
  <c r="BV2837" i="2"/>
  <c r="BV2838" i="2"/>
  <c r="BV2839" i="2"/>
  <c r="BV2840" i="2"/>
  <c r="BV2841" i="2"/>
  <c r="BV2842" i="2"/>
  <c r="BV2843" i="2"/>
  <c r="BV2844" i="2"/>
  <c r="BV2845" i="2"/>
  <c r="BV2846" i="2"/>
  <c r="BV2847" i="2"/>
  <c r="BV2848" i="2"/>
  <c r="BV2849" i="2"/>
  <c r="BV2850" i="2"/>
  <c r="BV2851" i="2"/>
  <c r="BV2852" i="2"/>
  <c r="BV2853" i="2"/>
  <c r="BV2854" i="2"/>
  <c r="BV2855" i="2"/>
  <c r="BV2856" i="2"/>
  <c r="BV2857" i="2"/>
  <c r="BV2858" i="2"/>
  <c r="BV2859" i="2"/>
  <c r="BV2860" i="2"/>
  <c r="BV2861" i="2"/>
  <c r="BV2862" i="2"/>
  <c r="BV2863" i="2"/>
  <c r="BV2864" i="2"/>
  <c r="BV2865" i="2"/>
  <c r="BV2866" i="2"/>
  <c r="BV2867" i="2"/>
  <c r="BV2868" i="2"/>
  <c r="BV2869" i="2"/>
  <c r="BV2870" i="2"/>
  <c r="BV2871" i="2"/>
  <c r="BV2872" i="2"/>
  <c r="BV2873" i="2"/>
  <c r="BV2874" i="2"/>
  <c r="BV2875" i="2"/>
  <c r="BV2876" i="2"/>
  <c r="BV2877" i="2"/>
  <c r="BV2878" i="2"/>
  <c r="BV2879" i="2"/>
  <c r="BV2880" i="2"/>
  <c r="BV2881" i="2"/>
  <c r="BV2882" i="2"/>
  <c r="BV2883" i="2"/>
  <c r="BV2884" i="2"/>
  <c r="BV2885" i="2"/>
  <c r="BV2886" i="2"/>
  <c r="BV2887" i="2"/>
  <c r="BV2888" i="2"/>
  <c r="BV2889" i="2"/>
  <c r="BV2890" i="2"/>
  <c r="BV2891" i="2"/>
  <c r="BV2892" i="2"/>
  <c r="BV2893" i="2"/>
  <c r="BV2894" i="2"/>
  <c r="BV2895" i="2"/>
  <c r="BV2896" i="2"/>
  <c r="BV2897" i="2"/>
  <c r="BV2898" i="2"/>
  <c r="BV2899" i="2"/>
  <c r="BV2900" i="2"/>
  <c r="BV2901" i="2"/>
  <c r="BV2902" i="2"/>
  <c r="BV2903" i="2"/>
  <c r="BV2904" i="2"/>
  <c r="BV2905" i="2"/>
  <c r="BV2906" i="2"/>
  <c r="BV2907" i="2"/>
  <c r="BV2908" i="2"/>
  <c r="BV2909" i="2"/>
  <c r="BV2910" i="2"/>
  <c r="BV2911" i="2"/>
  <c r="BV2912" i="2"/>
  <c r="BV2913" i="2"/>
  <c r="BV2914" i="2"/>
  <c r="BV2915" i="2"/>
  <c r="BV2916" i="2"/>
  <c r="BV2917" i="2"/>
  <c r="BV2918" i="2"/>
  <c r="BV2919" i="2"/>
  <c r="BV2920" i="2"/>
  <c r="BV2921" i="2"/>
  <c r="BV2922" i="2"/>
  <c r="BV2923" i="2"/>
  <c r="BV2924" i="2"/>
  <c r="BV2925" i="2"/>
  <c r="BV2926" i="2"/>
  <c r="BV2927" i="2"/>
  <c r="BV2928" i="2"/>
  <c r="BV2929" i="2"/>
  <c r="BV2930" i="2"/>
  <c r="BV2931" i="2"/>
  <c r="BV2932" i="2"/>
  <c r="BV2933" i="2"/>
  <c r="BV2934" i="2"/>
  <c r="BV2935" i="2"/>
  <c r="BV2936" i="2"/>
  <c r="BV2937" i="2"/>
  <c r="BV2938" i="2"/>
  <c r="BV2939" i="2"/>
  <c r="BV2940" i="2"/>
  <c r="BV2941" i="2"/>
  <c r="BV2942" i="2"/>
  <c r="BV2943" i="2"/>
  <c r="BV2944" i="2"/>
  <c r="BV2945" i="2"/>
  <c r="BV2946" i="2"/>
  <c r="BV2947" i="2"/>
  <c r="BV2948" i="2"/>
  <c r="BV2949" i="2"/>
  <c r="BV2950" i="2"/>
  <c r="BV2951" i="2"/>
  <c r="BV2952" i="2"/>
  <c r="BV2953" i="2"/>
  <c r="BV2954" i="2"/>
  <c r="BV2955" i="2"/>
  <c r="BV2956" i="2"/>
  <c r="BV2957" i="2"/>
  <c r="BV2958" i="2"/>
  <c r="BV2959" i="2"/>
  <c r="BV2960" i="2"/>
  <c r="BV2961" i="2"/>
  <c r="BV2962" i="2"/>
  <c r="BV2963" i="2"/>
  <c r="BV2964" i="2"/>
  <c r="BV2965" i="2"/>
  <c r="BV2966" i="2"/>
  <c r="BV2967" i="2"/>
  <c r="BV2968" i="2"/>
  <c r="BV2969" i="2"/>
  <c r="BV2970" i="2"/>
  <c r="BV2971" i="2"/>
  <c r="BV2972" i="2"/>
  <c r="BV2973" i="2"/>
  <c r="BV2974" i="2"/>
  <c r="BV2975" i="2"/>
  <c r="BV2976" i="2"/>
  <c r="BV2977" i="2"/>
  <c r="BV2978" i="2"/>
  <c r="BV2979" i="2"/>
  <c r="BV2980" i="2"/>
  <c r="BV2981" i="2"/>
  <c r="BV2982" i="2"/>
  <c r="BV2983" i="2"/>
  <c r="BV2984" i="2"/>
  <c r="BV2985" i="2"/>
  <c r="BV2986" i="2"/>
  <c r="BV2987" i="2"/>
  <c r="BV2988" i="2"/>
  <c r="BV2989" i="2"/>
  <c r="BV2990" i="2"/>
  <c r="BV2991" i="2"/>
  <c r="BV2992" i="2"/>
  <c r="BV2993" i="2"/>
  <c r="BV2994" i="2"/>
  <c r="BV2995" i="2"/>
  <c r="BV2996" i="2"/>
  <c r="BV2997" i="2"/>
  <c r="BV2998" i="2"/>
  <c r="BV2999" i="2"/>
  <c r="BV3000" i="2"/>
  <c r="BV3001" i="2"/>
  <c r="BV3002" i="2"/>
  <c r="BV3003" i="2"/>
  <c r="BV3004" i="2"/>
  <c r="BV3005" i="2"/>
  <c r="BV3006" i="2"/>
  <c r="BV3007" i="2"/>
  <c r="BV3008" i="2"/>
  <c r="BV3009" i="2"/>
  <c r="BV3010" i="2"/>
  <c r="BV3011" i="2"/>
  <c r="BV3012" i="2"/>
  <c r="BV3013" i="2"/>
  <c r="BV3014" i="2"/>
  <c r="BV3015" i="2"/>
  <c r="BV3016" i="2"/>
  <c r="BV3017" i="2"/>
  <c r="BV3018" i="2"/>
  <c r="BV3019" i="2"/>
  <c r="BV3020" i="2"/>
  <c r="BV3021" i="2"/>
  <c r="BV3022" i="2"/>
  <c r="BV3023" i="2"/>
  <c r="BV3024" i="2"/>
  <c r="BV3025" i="2"/>
  <c r="BV3026" i="2"/>
  <c r="BV3027" i="2"/>
  <c r="BV3028" i="2"/>
  <c r="BV3029" i="2"/>
  <c r="BV3030" i="2"/>
  <c r="BV3031" i="2"/>
  <c r="BV3032" i="2"/>
  <c r="BV3033" i="2"/>
  <c r="BV3034" i="2"/>
  <c r="BV3035" i="2"/>
  <c r="BV3036" i="2"/>
  <c r="BV3037" i="2"/>
  <c r="BV3038" i="2"/>
  <c r="BV3039" i="2"/>
  <c r="BV3040" i="2"/>
  <c r="BV3041" i="2"/>
  <c r="BV3042" i="2"/>
  <c r="BV3043" i="2"/>
  <c r="BV3044" i="2"/>
  <c r="BV3045" i="2"/>
  <c r="BV3046" i="2"/>
  <c r="BV3047" i="2"/>
  <c r="BV3048" i="2"/>
  <c r="BV3049" i="2"/>
  <c r="BV3050" i="2"/>
  <c r="BV3051" i="2"/>
  <c r="BV3052" i="2"/>
  <c r="BV3053" i="2"/>
  <c r="BV3054" i="2"/>
  <c r="BV3055" i="2"/>
  <c r="BV3056" i="2"/>
  <c r="BV3057" i="2"/>
  <c r="BV3058" i="2"/>
  <c r="BV3059" i="2"/>
  <c r="BV3060" i="2"/>
  <c r="BV3061" i="2"/>
  <c r="BV3062" i="2"/>
  <c r="BV3063" i="2"/>
  <c r="BV3064" i="2"/>
  <c r="BV3065" i="2"/>
  <c r="BV3066" i="2"/>
  <c r="BV3067" i="2"/>
  <c r="BV3068" i="2"/>
  <c r="BV3069" i="2"/>
  <c r="BV3070" i="2"/>
  <c r="BV3071" i="2"/>
  <c r="BV3072" i="2"/>
  <c r="BV3073" i="2"/>
  <c r="BV3074" i="2"/>
  <c r="BV3075" i="2"/>
  <c r="BV3076" i="2"/>
  <c r="BV3077" i="2"/>
  <c r="BV3078" i="2"/>
  <c r="BV3079" i="2"/>
  <c r="BV3080" i="2"/>
  <c r="BV3081" i="2"/>
  <c r="BV3082" i="2"/>
  <c r="BV3083" i="2"/>
  <c r="BV3084" i="2"/>
  <c r="BV3085" i="2"/>
  <c r="BV3086" i="2"/>
  <c r="BV3087" i="2"/>
  <c r="BV3088" i="2"/>
  <c r="BV3089" i="2"/>
  <c r="BV3090" i="2"/>
  <c r="BV3091" i="2"/>
  <c r="BV3092" i="2"/>
  <c r="BV3093" i="2"/>
  <c r="BV3094" i="2"/>
  <c r="BV3095" i="2"/>
  <c r="BV3096" i="2"/>
  <c r="BV3097" i="2"/>
  <c r="BV3098" i="2"/>
  <c r="BV3099" i="2"/>
  <c r="BV3100" i="2"/>
  <c r="BV3101" i="2"/>
  <c r="BV3102" i="2"/>
  <c r="BV3103" i="2"/>
  <c r="BV3104" i="2"/>
  <c r="BV3105" i="2"/>
  <c r="BV3106" i="2"/>
  <c r="BV3107" i="2"/>
  <c r="BV3108" i="2"/>
  <c r="BV3109" i="2"/>
  <c r="BV3110" i="2"/>
  <c r="BV3111" i="2"/>
  <c r="BV3112" i="2"/>
  <c r="BV3113" i="2"/>
  <c r="BV3114" i="2"/>
  <c r="BV3115" i="2"/>
  <c r="BV3116" i="2"/>
  <c r="BV3117" i="2"/>
  <c r="BV3118" i="2"/>
  <c r="BV3119" i="2"/>
  <c r="BV3120" i="2"/>
  <c r="BV3121" i="2"/>
  <c r="BV3122" i="2"/>
  <c r="BV3123" i="2"/>
  <c r="BV3124" i="2"/>
  <c r="BV3125" i="2"/>
  <c r="BV3126" i="2"/>
  <c r="BV3127" i="2"/>
  <c r="BV3128" i="2"/>
  <c r="BV3129" i="2"/>
  <c r="BV3130" i="2"/>
  <c r="BV3131" i="2"/>
  <c r="BV3132" i="2"/>
  <c r="BV3133" i="2"/>
  <c r="BV3134" i="2"/>
  <c r="BV3135" i="2"/>
  <c r="BV3136" i="2"/>
  <c r="BV3137" i="2"/>
  <c r="BV3138" i="2"/>
  <c r="BV3139" i="2"/>
  <c r="BV3140" i="2"/>
  <c r="BV3141" i="2"/>
  <c r="BV3142" i="2"/>
  <c r="BV3143" i="2"/>
  <c r="BV3144" i="2"/>
  <c r="BV3145" i="2"/>
  <c r="BV3146" i="2"/>
  <c r="BV3147" i="2"/>
  <c r="BV3148" i="2"/>
  <c r="BV3149" i="2"/>
  <c r="BV3150" i="2"/>
  <c r="BV3151" i="2"/>
  <c r="BV3152" i="2"/>
  <c r="BV3153" i="2"/>
  <c r="BV3154" i="2"/>
  <c r="BV3155" i="2"/>
  <c r="BV3156" i="2"/>
  <c r="BV3157" i="2"/>
  <c r="BV3158" i="2"/>
  <c r="BV3159" i="2"/>
  <c r="BV3160" i="2"/>
  <c r="BV3161" i="2"/>
  <c r="BV3162" i="2"/>
  <c r="BV3163" i="2"/>
  <c r="BV3164" i="2"/>
  <c r="BV3165" i="2"/>
  <c r="BV3166" i="2"/>
  <c r="BV3167" i="2"/>
  <c r="BV3168" i="2"/>
  <c r="BV3169" i="2"/>
  <c r="BV3170" i="2"/>
  <c r="BV3171" i="2"/>
  <c r="BV3172" i="2"/>
  <c r="BV3173" i="2"/>
  <c r="BV3174" i="2"/>
  <c r="BV3175" i="2"/>
  <c r="BV3176" i="2"/>
  <c r="BV3177" i="2"/>
  <c r="BV3178" i="2"/>
  <c r="BV3179" i="2"/>
  <c r="BV3180" i="2"/>
  <c r="BV3181" i="2"/>
  <c r="BV3182" i="2"/>
  <c r="BV3183" i="2"/>
  <c r="BV3184" i="2"/>
  <c r="BV3185" i="2"/>
  <c r="BV3186" i="2"/>
  <c r="BV3187" i="2"/>
  <c r="BV3188" i="2"/>
  <c r="BV3189" i="2"/>
  <c r="BV3190" i="2"/>
  <c r="BV3191" i="2"/>
  <c r="BV3192" i="2"/>
  <c r="BV3193" i="2"/>
  <c r="BV3194" i="2"/>
  <c r="BV3195" i="2"/>
  <c r="BV3196" i="2"/>
  <c r="BV3197" i="2"/>
  <c r="BV3198" i="2"/>
  <c r="BV3199" i="2"/>
  <c r="BV3200" i="2"/>
  <c r="BV3201" i="2"/>
  <c r="BV3202" i="2"/>
  <c r="BV3203" i="2"/>
  <c r="BV3204" i="2"/>
  <c r="BV3205" i="2"/>
  <c r="BV3206" i="2"/>
  <c r="BV3207" i="2"/>
  <c r="BV3208" i="2"/>
  <c r="BV3209" i="2"/>
  <c r="BV3210" i="2"/>
  <c r="BV3211" i="2"/>
  <c r="BV3212" i="2"/>
  <c r="BV3213" i="2"/>
  <c r="BV3214" i="2"/>
  <c r="BV3215" i="2"/>
  <c r="BV3216" i="2"/>
  <c r="BV3217" i="2"/>
  <c r="BV3218" i="2"/>
  <c r="BV3219" i="2"/>
  <c r="BV3220" i="2"/>
  <c r="BV3221" i="2"/>
  <c r="BV3222" i="2"/>
  <c r="BV3223" i="2"/>
  <c r="BV3224" i="2"/>
  <c r="BV3225" i="2"/>
  <c r="BV3226" i="2"/>
  <c r="BV3227" i="2"/>
  <c r="BV3228" i="2"/>
  <c r="BV3229" i="2"/>
  <c r="BV3230" i="2"/>
  <c r="BV3231" i="2"/>
  <c r="BV3232" i="2"/>
  <c r="BV3233" i="2"/>
  <c r="BV3234" i="2"/>
  <c r="BV3235" i="2"/>
  <c r="BV3236" i="2"/>
  <c r="BV3237" i="2"/>
  <c r="BV3238" i="2"/>
  <c r="BV3239" i="2"/>
  <c r="BV3240" i="2"/>
  <c r="BV3241" i="2"/>
  <c r="BV3242" i="2"/>
  <c r="BV3243" i="2"/>
  <c r="BV3244" i="2"/>
  <c r="BV3245" i="2"/>
  <c r="BV3246" i="2"/>
  <c r="BV3247" i="2"/>
  <c r="BV3248" i="2"/>
  <c r="BV3249" i="2"/>
  <c r="BV3250" i="2"/>
  <c r="BV3251" i="2"/>
  <c r="BV3252" i="2"/>
  <c r="BV3253" i="2"/>
  <c r="BV3254" i="2"/>
  <c r="BV3255" i="2"/>
  <c r="BV3256" i="2"/>
  <c r="BV3257" i="2"/>
  <c r="BV3258" i="2"/>
  <c r="BV3259" i="2"/>
  <c r="BV3260" i="2"/>
  <c r="BV3261" i="2"/>
  <c r="BV3262" i="2"/>
  <c r="BV3263" i="2"/>
  <c r="BV3264" i="2"/>
  <c r="BV3265" i="2"/>
  <c r="BV3266" i="2"/>
  <c r="BV3267" i="2"/>
  <c r="BV3268" i="2"/>
  <c r="BV3269" i="2"/>
  <c r="BV3270" i="2"/>
  <c r="BV3271" i="2"/>
  <c r="BV3272" i="2"/>
  <c r="BV3273" i="2"/>
  <c r="BV3274" i="2"/>
  <c r="BV3275" i="2"/>
  <c r="BV3276" i="2"/>
  <c r="BV3277" i="2"/>
  <c r="BV3278" i="2"/>
  <c r="BV3279" i="2"/>
  <c r="BV3280" i="2"/>
  <c r="BV3281" i="2"/>
  <c r="BV3282" i="2"/>
  <c r="BV3283" i="2"/>
  <c r="BV3284" i="2"/>
  <c r="BV3285" i="2"/>
  <c r="BV3286" i="2"/>
  <c r="BV3287" i="2"/>
  <c r="BV3288" i="2"/>
  <c r="BV3289" i="2"/>
  <c r="BV3290" i="2"/>
  <c r="BV3291" i="2"/>
  <c r="BV3292" i="2"/>
  <c r="BV3293" i="2"/>
  <c r="BV3294" i="2"/>
  <c r="BV3295" i="2"/>
  <c r="BV3296" i="2"/>
  <c r="BV3297" i="2"/>
  <c r="BV3298" i="2"/>
  <c r="BV3299" i="2"/>
  <c r="BV3300" i="2"/>
  <c r="BV3301" i="2"/>
  <c r="BV3302" i="2"/>
  <c r="BV3303" i="2"/>
  <c r="BV3304" i="2"/>
  <c r="BV3305" i="2"/>
  <c r="BV3306" i="2"/>
  <c r="BV3307" i="2"/>
  <c r="BV3308" i="2"/>
  <c r="BV3309" i="2"/>
  <c r="BV3310" i="2"/>
  <c r="BV3311" i="2"/>
  <c r="BV3312" i="2"/>
  <c r="BV3313" i="2"/>
  <c r="BV3314" i="2"/>
  <c r="BV3315" i="2"/>
  <c r="BV3316" i="2"/>
  <c r="BV3317" i="2"/>
  <c r="BV3318" i="2"/>
  <c r="BV3319" i="2"/>
  <c r="BV3320" i="2"/>
  <c r="BV3321" i="2"/>
  <c r="BV3322" i="2"/>
  <c r="BV3323" i="2"/>
  <c r="BV3324" i="2"/>
  <c r="BV3325" i="2"/>
  <c r="BV3326" i="2"/>
  <c r="BV3327" i="2"/>
  <c r="BV3328" i="2"/>
  <c r="BV3329" i="2"/>
  <c r="BV3330" i="2"/>
  <c r="BV3331" i="2"/>
  <c r="BV3332" i="2"/>
  <c r="BV3333" i="2"/>
  <c r="BV3334" i="2"/>
  <c r="BV3335" i="2"/>
  <c r="BV3336" i="2"/>
  <c r="BV3337" i="2"/>
  <c r="BV3338" i="2"/>
  <c r="BV3339" i="2"/>
  <c r="BV3340" i="2"/>
  <c r="BV3341" i="2"/>
  <c r="BV3342" i="2"/>
  <c r="BV3343" i="2"/>
  <c r="BV3344" i="2"/>
  <c r="BV3345" i="2"/>
  <c r="BV3346" i="2"/>
  <c r="BV3347" i="2"/>
  <c r="BV3348" i="2"/>
  <c r="BV3349" i="2"/>
  <c r="BV3350" i="2"/>
  <c r="BV3351" i="2"/>
  <c r="BV3352" i="2"/>
  <c r="BV3353" i="2"/>
  <c r="BV3354" i="2"/>
  <c r="BV3355" i="2"/>
  <c r="BV3356" i="2"/>
  <c r="BV3357" i="2"/>
  <c r="BV3358" i="2"/>
  <c r="BV3359" i="2"/>
  <c r="BV3360" i="2"/>
  <c r="BV3361" i="2"/>
  <c r="BV3362" i="2"/>
  <c r="BV3363" i="2"/>
  <c r="BV3364" i="2"/>
  <c r="BV3365" i="2"/>
  <c r="BV3366" i="2"/>
  <c r="BV3367" i="2"/>
  <c r="BV3368" i="2"/>
  <c r="BV3369" i="2"/>
  <c r="BV3370" i="2"/>
  <c r="BV3371" i="2"/>
  <c r="BV3372" i="2"/>
  <c r="BV3373" i="2"/>
  <c r="BV3374" i="2"/>
  <c r="BV3375" i="2"/>
  <c r="BV3376" i="2"/>
  <c r="BV3377" i="2"/>
  <c r="BV3378" i="2"/>
  <c r="BV3379" i="2"/>
  <c r="BV3380" i="2"/>
  <c r="BV3381" i="2"/>
  <c r="BV3382" i="2"/>
  <c r="BV3383" i="2"/>
  <c r="BV3384" i="2"/>
  <c r="BV3385" i="2"/>
  <c r="BV3386" i="2"/>
  <c r="BV3387" i="2"/>
  <c r="BV3388" i="2"/>
  <c r="BV3389" i="2"/>
  <c r="BV3390" i="2"/>
  <c r="BV3391" i="2"/>
  <c r="BV3392" i="2"/>
  <c r="BV3393" i="2"/>
  <c r="BV3394" i="2"/>
  <c r="BV3395" i="2"/>
  <c r="BV3396" i="2"/>
  <c r="BV3397" i="2"/>
  <c r="BV3398" i="2"/>
  <c r="BV3399" i="2"/>
  <c r="BV3400" i="2"/>
  <c r="BV3401" i="2"/>
  <c r="BV3402" i="2"/>
  <c r="BV3403" i="2"/>
  <c r="BV3404" i="2"/>
  <c r="BV3405" i="2"/>
  <c r="BV3406" i="2"/>
  <c r="BV3407" i="2"/>
  <c r="BV3408" i="2"/>
  <c r="BV3409" i="2"/>
  <c r="BV3410" i="2"/>
  <c r="BV3411" i="2"/>
  <c r="BV3412" i="2"/>
  <c r="BV3413" i="2"/>
  <c r="BV3414" i="2"/>
  <c r="BV3415" i="2"/>
  <c r="BV3416" i="2"/>
  <c r="BV3417" i="2"/>
  <c r="BV3418" i="2"/>
  <c r="BV3419" i="2"/>
  <c r="BV3420" i="2"/>
  <c r="BV3421" i="2"/>
  <c r="BV3422" i="2"/>
  <c r="BV3423" i="2"/>
  <c r="BV3424" i="2"/>
  <c r="BV3425" i="2"/>
  <c r="BV3426" i="2"/>
  <c r="BV3427" i="2"/>
  <c r="BV3428" i="2"/>
  <c r="BV3429" i="2"/>
  <c r="BV3430" i="2"/>
  <c r="BV3431" i="2"/>
  <c r="BV3432" i="2"/>
  <c r="BV3433" i="2"/>
  <c r="BV3434" i="2"/>
  <c r="BV3435" i="2"/>
  <c r="BV3436" i="2"/>
  <c r="BV3437" i="2"/>
  <c r="BV3438" i="2"/>
  <c r="BV3439" i="2"/>
  <c r="BV3440" i="2"/>
  <c r="BV3441" i="2"/>
  <c r="BV3442" i="2"/>
  <c r="BV3443" i="2"/>
  <c r="BV3444" i="2"/>
  <c r="BV3445" i="2"/>
  <c r="BV3446" i="2"/>
  <c r="BV3447" i="2"/>
  <c r="BV3448" i="2"/>
  <c r="BV3449" i="2"/>
  <c r="BV3450" i="2"/>
  <c r="BV3451" i="2"/>
  <c r="BV3452" i="2"/>
  <c r="BV3453" i="2"/>
  <c r="BV3454" i="2"/>
  <c r="BV3455" i="2"/>
  <c r="BV3456" i="2"/>
  <c r="BV3457" i="2"/>
  <c r="BV3458" i="2"/>
  <c r="BV3459" i="2"/>
  <c r="BV3460" i="2"/>
  <c r="BV3461" i="2"/>
  <c r="BV3462" i="2"/>
  <c r="BV3463" i="2"/>
  <c r="BV3464" i="2"/>
  <c r="BV3465" i="2"/>
  <c r="BV3466" i="2"/>
  <c r="BV3467" i="2"/>
  <c r="BV3468" i="2"/>
  <c r="BV3469" i="2"/>
  <c r="BV3470" i="2"/>
  <c r="BV3471" i="2"/>
  <c r="BV3472" i="2"/>
  <c r="BV3473" i="2"/>
  <c r="BV3474" i="2"/>
  <c r="BV3475" i="2"/>
  <c r="BV3476" i="2"/>
  <c r="BV3477" i="2"/>
  <c r="BV3478" i="2"/>
  <c r="BV3479" i="2"/>
  <c r="BV3480" i="2"/>
  <c r="BV3481" i="2"/>
  <c r="BV3482" i="2"/>
  <c r="BV3483" i="2"/>
  <c r="BV3484" i="2"/>
  <c r="BV3485" i="2"/>
  <c r="BV3486" i="2"/>
  <c r="BV3487" i="2"/>
  <c r="BV3488" i="2"/>
  <c r="BV3489" i="2"/>
  <c r="BV3490" i="2"/>
  <c r="BV3491" i="2"/>
  <c r="BV3492" i="2"/>
  <c r="BV3493" i="2"/>
  <c r="BV3494" i="2"/>
  <c r="BV3495" i="2"/>
  <c r="BV3496" i="2"/>
  <c r="BV3497" i="2"/>
  <c r="BV3498" i="2"/>
  <c r="BV3499" i="2"/>
  <c r="BV3500" i="2"/>
  <c r="BV3501" i="2"/>
  <c r="BV3502" i="2"/>
  <c r="BV3503" i="2"/>
  <c r="BV3504" i="2"/>
  <c r="BV3505" i="2"/>
  <c r="BV3506" i="2"/>
  <c r="BV3507" i="2"/>
  <c r="BV3508" i="2"/>
  <c r="BV3509" i="2"/>
  <c r="BV3510" i="2"/>
  <c r="BV3511" i="2"/>
  <c r="BV3512" i="2"/>
  <c r="BV3513" i="2"/>
  <c r="BV3514" i="2"/>
  <c r="BV3515" i="2"/>
  <c r="BV3516" i="2"/>
  <c r="BV3517" i="2"/>
  <c r="BV3518" i="2"/>
  <c r="BV3519" i="2"/>
  <c r="BV3520" i="2"/>
  <c r="BV3521" i="2"/>
  <c r="BV3522" i="2"/>
  <c r="BV3523" i="2"/>
  <c r="BV3524" i="2"/>
  <c r="BV3525" i="2"/>
  <c r="BV3526" i="2"/>
  <c r="BV3527" i="2"/>
  <c r="BV3528" i="2"/>
  <c r="BV3529" i="2"/>
  <c r="BV3530" i="2"/>
  <c r="BV3531" i="2"/>
  <c r="BV3532" i="2"/>
  <c r="BV3533" i="2"/>
  <c r="BV3534" i="2"/>
  <c r="BV3535" i="2"/>
  <c r="BV3536" i="2"/>
  <c r="BV3537" i="2"/>
  <c r="BV3538" i="2"/>
  <c r="BV3539" i="2"/>
  <c r="BV3540" i="2"/>
  <c r="BV3541" i="2"/>
  <c r="BV3542" i="2"/>
  <c r="BV3543" i="2"/>
  <c r="BV3544" i="2"/>
  <c r="BV3545" i="2"/>
  <c r="BV3546" i="2"/>
  <c r="BV3547" i="2"/>
  <c r="BV3548" i="2"/>
  <c r="BV3549" i="2"/>
  <c r="BV3550" i="2"/>
  <c r="BV3551" i="2"/>
  <c r="BV3552" i="2"/>
  <c r="BV3553" i="2"/>
  <c r="BV3554" i="2"/>
  <c r="BV3555" i="2"/>
  <c r="BV3556" i="2"/>
  <c r="BV3557" i="2"/>
  <c r="BV3558" i="2"/>
  <c r="BV3559" i="2"/>
  <c r="BV3560" i="2"/>
  <c r="BV3561" i="2"/>
  <c r="BV3562" i="2"/>
  <c r="BV3563" i="2"/>
  <c r="BV3564" i="2"/>
  <c r="BV3565" i="2"/>
  <c r="BV3566" i="2"/>
  <c r="BV3567" i="2"/>
  <c r="BV3568" i="2"/>
  <c r="BV3569" i="2"/>
  <c r="BV3570" i="2"/>
  <c r="BV3571" i="2"/>
  <c r="BV3572" i="2"/>
  <c r="BV3573" i="2"/>
  <c r="BV3574" i="2"/>
  <c r="BV3575" i="2"/>
  <c r="BV3576" i="2"/>
  <c r="BV3577" i="2"/>
  <c r="BV3578" i="2"/>
  <c r="BV3579" i="2"/>
  <c r="BV3580" i="2"/>
  <c r="BV3581" i="2"/>
  <c r="BV3582" i="2"/>
  <c r="BV3583" i="2"/>
  <c r="BV3584" i="2"/>
  <c r="BV3585" i="2"/>
  <c r="BV3586" i="2"/>
  <c r="BV3587" i="2"/>
  <c r="BV3588" i="2"/>
  <c r="BV3589" i="2"/>
  <c r="BV3590" i="2"/>
  <c r="BV3591" i="2"/>
  <c r="BV3592" i="2"/>
  <c r="BV3593" i="2"/>
  <c r="BV3594" i="2"/>
  <c r="BV3595" i="2"/>
  <c r="BV3596" i="2"/>
  <c r="BV3597" i="2"/>
  <c r="BV3598" i="2"/>
  <c r="BV3599" i="2"/>
  <c r="BV3600" i="2"/>
  <c r="BV3601" i="2"/>
  <c r="BV3602" i="2"/>
  <c r="BV3603" i="2"/>
  <c r="BV3604" i="2"/>
  <c r="BV3605" i="2"/>
  <c r="BV3606" i="2"/>
  <c r="BV3607" i="2"/>
  <c r="BV3608" i="2"/>
  <c r="BV3609" i="2"/>
  <c r="BV3610" i="2"/>
  <c r="BV3611" i="2"/>
  <c r="BV3612" i="2"/>
  <c r="BV3613" i="2"/>
  <c r="BV3614" i="2"/>
  <c r="BV3615" i="2"/>
  <c r="BV3616" i="2"/>
  <c r="BV3617" i="2"/>
  <c r="BV3618" i="2"/>
  <c r="BV3619" i="2"/>
  <c r="BV3620" i="2"/>
  <c r="BV3621" i="2"/>
  <c r="BV3622" i="2"/>
  <c r="BV3623" i="2"/>
  <c r="BV3624" i="2"/>
  <c r="BV3625" i="2"/>
  <c r="BV3626" i="2"/>
  <c r="BV3627" i="2"/>
  <c r="BV3628" i="2"/>
  <c r="BV3629" i="2"/>
  <c r="BV3630" i="2"/>
  <c r="BV3631" i="2"/>
  <c r="BV3632" i="2"/>
  <c r="BV3633" i="2"/>
  <c r="BV3634" i="2"/>
  <c r="BV3635" i="2"/>
  <c r="BV3636" i="2"/>
  <c r="BV3637" i="2"/>
  <c r="BV3638" i="2"/>
  <c r="BV3639" i="2"/>
  <c r="BV3640" i="2"/>
  <c r="BV3641" i="2"/>
  <c r="BV3642" i="2"/>
  <c r="BV3643" i="2"/>
  <c r="BV3644" i="2"/>
  <c r="BV3645" i="2"/>
  <c r="BV3646" i="2"/>
  <c r="BV3647" i="2"/>
  <c r="BV3648" i="2"/>
  <c r="BV3649" i="2"/>
  <c r="BV3650" i="2"/>
  <c r="BV3651" i="2"/>
  <c r="BV3652" i="2"/>
  <c r="BV3653" i="2"/>
  <c r="BV3654" i="2"/>
  <c r="BV3655" i="2"/>
  <c r="BV3656" i="2"/>
  <c r="BV3657" i="2"/>
  <c r="BV3658" i="2"/>
  <c r="BV3659" i="2"/>
  <c r="BV3660" i="2"/>
  <c r="BV3661" i="2"/>
  <c r="BV3662" i="2"/>
  <c r="BV3663" i="2"/>
  <c r="BV3664" i="2"/>
  <c r="BV3665" i="2"/>
  <c r="BV3666" i="2"/>
  <c r="BV3667" i="2"/>
  <c r="BV3668" i="2"/>
  <c r="BV3669" i="2"/>
  <c r="BV3670" i="2"/>
  <c r="BV3671" i="2"/>
  <c r="BV3672" i="2"/>
  <c r="BV3673" i="2"/>
  <c r="BV3674" i="2"/>
  <c r="BV3675" i="2"/>
  <c r="BV3676" i="2"/>
  <c r="BV3677" i="2"/>
  <c r="BV3678" i="2"/>
  <c r="BV3679" i="2"/>
  <c r="BV3680" i="2"/>
  <c r="BV3681" i="2"/>
  <c r="BV3682" i="2"/>
  <c r="BV3683" i="2"/>
  <c r="BV3684" i="2"/>
  <c r="BV3685" i="2"/>
  <c r="BV3686" i="2"/>
  <c r="BV3687" i="2"/>
  <c r="BV3688" i="2"/>
  <c r="BV3689" i="2"/>
  <c r="BV3690" i="2"/>
  <c r="BV3691" i="2"/>
  <c r="BV3692" i="2"/>
  <c r="BV3693" i="2"/>
  <c r="BV3694" i="2"/>
  <c r="BV3695" i="2"/>
  <c r="BV3696" i="2"/>
  <c r="BV3697" i="2"/>
  <c r="BV3698" i="2"/>
  <c r="BV3699" i="2"/>
  <c r="BV3700" i="2"/>
  <c r="BV3701" i="2"/>
  <c r="BV3702" i="2"/>
  <c r="BV3703" i="2"/>
  <c r="BV3704" i="2"/>
  <c r="BV3705" i="2"/>
  <c r="BV3706" i="2"/>
  <c r="BV3707" i="2"/>
  <c r="BV3708" i="2"/>
  <c r="BV3709" i="2"/>
  <c r="BV3710" i="2"/>
  <c r="BV3711" i="2"/>
  <c r="BV3712" i="2"/>
  <c r="BV3713" i="2"/>
  <c r="BV3714" i="2"/>
  <c r="BV3715" i="2"/>
  <c r="BV3716" i="2"/>
  <c r="BV3717" i="2"/>
  <c r="BV3718" i="2"/>
  <c r="BV3719" i="2"/>
  <c r="BV3720" i="2"/>
  <c r="BV3721" i="2"/>
  <c r="BV3722" i="2"/>
  <c r="BV3723" i="2"/>
  <c r="BV3724" i="2"/>
  <c r="BV3725" i="2"/>
  <c r="BV3726" i="2"/>
  <c r="BV3727" i="2"/>
  <c r="BV3728" i="2"/>
  <c r="BV3729" i="2"/>
  <c r="BV3730" i="2"/>
  <c r="BV3731" i="2"/>
  <c r="BV3732" i="2"/>
  <c r="BV3733" i="2"/>
  <c r="BV3734" i="2"/>
  <c r="BV3735" i="2"/>
  <c r="BV3736" i="2"/>
  <c r="BV3737" i="2"/>
  <c r="BV3738" i="2"/>
  <c r="BV3739" i="2"/>
  <c r="BV3740" i="2"/>
  <c r="BV3741" i="2"/>
  <c r="BV3742" i="2"/>
  <c r="BV3743" i="2"/>
  <c r="BV3744" i="2"/>
  <c r="BV3745" i="2"/>
  <c r="BV3746" i="2"/>
  <c r="BV3747" i="2"/>
  <c r="BV3748" i="2"/>
  <c r="BV3749" i="2"/>
  <c r="BV3750" i="2"/>
  <c r="BV3751" i="2"/>
  <c r="BV3752" i="2"/>
  <c r="BV3753" i="2"/>
  <c r="BV3754" i="2"/>
  <c r="BV3755" i="2"/>
  <c r="BV3756" i="2"/>
  <c r="BV3757" i="2"/>
  <c r="BV3758" i="2"/>
  <c r="BV3759" i="2"/>
  <c r="BV3760" i="2"/>
  <c r="BV3761" i="2"/>
  <c r="BV3762" i="2"/>
  <c r="BV3763" i="2"/>
  <c r="BV3764" i="2"/>
  <c r="BV3765" i="2"/>
  <c r="BV3766" i="2"/>
  <c r="BV3767" i="2"/>
  <c r="BV3768" i="2"/>
  <c r="BV3769" i="2"/>
  <c r="BV3770" i="2"/>
  <c r="BV3771" i="2"/>
  <c r="BV3772" i="2"/>
  <c r="BV3773" i="2"/>
  <c r="BV3774" i="2"/>
  <c r="BV3775" i="2"/>
  <c r="BV3776" i="2"/>
  <c r="BV3777" i="2"/>
  <c r="BV3778" i="2"/>
  <c r="BV3779" i="2"/>
  <c r="BV3780" i="2"/>
  <c r="BV3781" i="2"/>
  <c r="BV3782" i="2"/>
  <c r="BV3783" i="2"/>
  <c r="BV3784" i="2"/>
  <c r="BV3785" i="2"/>
  <c r="BV3786" i="2"/>
  <c r="BV3787" i="2"/>
  <c r="BV3788" i="2"/>
  <c r="BV3789" i="2"/>
  <c r="BV3790" i="2"/>
  <c r="BV3791" i="2"/>
  <c r="BV3792" i="2"/>
  <c r="BV3793" i="2"/>
  <c r="BV3794" i="2"/>
  <c r="BV3795" i="2"/>
  <c r="BV3796" i="2"/>
  <c r="BV3797" i="2"/>
  <c r="BV3798" i="2"/>
  <c r="BV3799" i="2"/>
  <c r="BV3800" i="2"/>
  <c r="BV3801" i="2"/>
  <c r="BV3802" i="2"/>
  <c r="BV3803" i="2"/>
  <c r="BV3804" i="2"/>
  <c r="BV3805" i="2"/>
  <c r="BV3806" i="2"/>
  <c r="BV3807" i="2"/>
  <c r="BV3808" i="2"/>
  <c r="BV3809" i="2"/>
  <c r="BV3810" i="2"/>
  <c r="BV3811" i="2"/>
  <c r="BV3812" i="2"/>
  <c r="BV3813" i="2"/>
  <c r="BV3814" i="2"/>
  <c r="BV3815" i="2"/>
  <c r="BV3816" i="2"/>
  <c r="BV3817" i="2"/>
  <c r="BV3818" i="2"/>
  <c r="BV3819" i="2"/>
  <c r="BV3820" i="2"/>
  <c r="BV3821" i="2"/>
  <c r="BV3822" i="2"/>
  <c r="BV3823" i="2"/>
  <c r="BV3824" i="2"/>
  <c r="BV3825" i="2"/>
  <c r="BV3826" i="2"/>
  <c r="BV3827" i="2"/>
  <c r="BV3828" i="2"/>
  <c r="BV3829" i="2"/>
  <c r="BV3830" i="2"/>
  <c r="BV3831" i="2"/>
  <c r="BV3832" i="2"/>
  <c r="BV3833" i="2"/>
  <c r="BV3834" i="2"/>
  <c r="BV3835" i="2"/>
  <c r="BV3836" i="2"/>
  <c r="BV3837" i="2"/>
  <c r="BV3838" i="2"/>
  <c r="BV3839" i="2"/>
  <c r="BV3840" i="2"/>
  <c r="BV3841" i="2"/>
  <c r="BV3842" i="2"/>
  <c r="BV3843" i="2"/>
  <c r="BV3844" i="2"/>
  <c r="BV3845" i="2"/>
  <c r="BV3846" i="2"/>
  <c r="BV3847" i="2"/>
  <c r="BV3848" i="2"/>
  <c r="BV3849" i="2"/>
  <c r="BV3850" i="2"/>
  <c r="BV3851" i="2"/>
  <c r="BV3852" i="2"/>
  <c r="BV3853" i="2"/>
  <c r="BV3854" i="2"/>
  <c r="BV3855" i="2"/>
  <c r="BV3856" i="2"/>
  <c r="BV3857" i="2"/>
  <c r="BV3858" i="2"/>
  <c r="BV3859" i="2"/>
  <c r="BV3860" i="2"/>
  <c r="BV3861" i="2"/>
  <c r="BV3862" i="2"/>
  <c r="BV3863" i="2"/>
  <c r="BV3864" i="2"/>
  <c r="BV3865" i="2"/>
  <c r="BV3866" i="2"/>
  <c r="BV3867" i="2"/>
  <c r="BV3868" i="2"/>
  <c r="BV3869" i="2"/>
  <c r="BV3870" i="2"/>
  <c r="BV3871" i="2"/>
  <c r="BV3872" i="2"/>
  <c r="BV3873" i="2"/>
  <c r="BV3874" i="2"/>
  <c r="BV3875" i="2"/>
  <c r="BV3876" i="2"/>
  <c r="BV3877" i="2"/>
  <c r="BV3878" i="2"/>
  <c r="BV3879" i="2"/>
  <c r="BV3880" i="2"/>
  <c r="BV3881" i="2"/>
  <c r="BV3882" i="2"/>
  <c r="BV3883" i="2"/>
  <c r="BV3884" i="2"/>
  <c r="BV3885" i="2"/>
  <c r="BV3886" i="2"/>
  <c r="BV3887" i="2"/>
  <c r="BV3888" i="2"/>
  <c r="BV3889" i="2"/>
  <c r="BV3890" i="2"/>
  <c r="BV3891" i="2"/>
  <c r="BV3892" i="2"/>
  <c r="BV3893" i="2"/>
  <c r="BV3894" i="2"/>
  <c r="BV3895" i="2"/>
  <c r="BV3896" i="2"/>
  <c r="BV3897" i="2"/>
  <c r="BV3898" i="2"/>
  <c r="BV3899" i="2"/>
  <c r="BV3900" i="2"/>
  <c r="BV3901" i="2"/>
  <c r="BV3902" i="2"/>
  <c r="BV3903" i="2"/>
  <c r="BV3904" i="2"/>
  <c r="BV3905" i="2"/>
  <c r="BV3906" i="2"/>
  <c r="BV3907" i="2"/>
  <c r="BV3908" i="2"/>
  <c r="BV3909" i="2"/>
  <c r="BV3910" i="2"/>
  <c r="BV3911" i="2"/>
  <c r="BV3912" i="2"/>
  <c r="BV3913" i="2"/>
  <c r="BV3914" i="2"/>
  <c r="BV3915" i="2"/>
  <c r="BV3916" i="2"/>
  <c r="BV3917" i="2"/>
  <c r="BV3918" i="2"/>
  <c r="BV3919" i="2"/>
  <c r="BV3920" i="2"/>
  <c r="BV3921" i="2"/>
  <c r="BV3922" i="2"/>
  <c r="BV3923" i="2"/>
  <c r="BV3924" i="2"/>
  <c r="BV3925" i="2"/>
  <c r="BV3926" i="2"/>
  <c r="BV3927" i="2"/>
  <c r="BV3928" i="2"/>
  <c r="BV3929" i="2"/>
  <c r="BV3930" i="2"/>
  <c r="BV3931" i="2"/>
  <c r="BV3932" i="2"/>
  <c r="BV3933" i="2"/>
  <c r="BV3934" i="2"/>
  <c r="BV3935" i="2"/>
  <c r="BV3936" i="2"/>
  <c r="BV3937" i="2"/>
  <c r="BV3938" i="2"/>
  <c r="BV3939" i="2"/>
  <c r="BV3940" i="2"/>
  <c r="BV3941" i="2"/>
  <c r="BV3942" i="2"/>
  <c r="BV3943" i="2"/>
  <c r="BV3944" i="2"/>
  <c r="BV3945" i="2"/>
  <c r="BV3946" i="2"/>
  <c r="BV3947" i="2"/>
  <c r="BV3948" i="2"/>
  <c r="BV3949" i="2"/>
  <c r="BV3950" i="2"/>
  <c r="BV3951" i="2"/>
  <c r="BV3952" i="2"/>
  <c r="BV3953" i="2"/>
  <c r="BV3954" i="2"/>
  <c r="BV3955" i="2"/>
  <c r="BV3956" i="2"/>
  <c r="BV3957" i="2"/>
  <c r="BV3958" i="2"/>
  <c r="BV3959" i="2"/>
  <c r="BV3960" i="2"/>
  <c r="BV3961" i="2"/>
  <c r="BV3962" i="2"/>
  <c r="BV3963" i="2"/>
  <c r="BV3964" i="2"/>
  <c r="BV3965" i="2"/>
  <c r="BV3966" i="2"/>
  <c r="BV3967" i="2"/>
  <c r="BV3968" i="2"/>
  <c r="BV3969" i="2"/>
  <c r="BV3970" i="2"/>
  <c r="BV3971" i="2"/>
  <c r="BV3972" i="2"/>
  <c r="BV3973" i="2"/>
  <c r="BV3974" i="2"/>
  <c r="BV3975" i="2"/>
  <c r="BV3976" i="2"/>
  <c r="BV3977" i="2"/>
  <c r="BV3978" i="2"/>
  <c r="BV3979" i="2"/>
  <c r="BV3980" i="2"/>
  <c r="BV3981" i="2"/>
  <c r="BV3982" i="2"/>
  <c r="BV3983" i="2"/>
  <c r="BV3984" i="2"/>
  <c r="BV3985" i="2"/>
  <c r="BV3986" i="2"/>
  <c r="BV3987" i="2"/>
  <c r="BV3988" i="2"/>
  <c r="BV3989" i="2"/>
  <c r="BV3990" i="2"/>
  <c r="BV3991" i="2"/>
  <c r="BV3992" i="2"/>
  <c r="BV3993" i="2"/>
  <c r="BV3994" i="2"/>
  <c r="BV3995" i="2"/>
  <c r="BV3996" i="2"/>
  <c r="BV3997" i="2"/>
  <c r="BV3998" i="2"/>
  <c r="BV3999" i="2"/>
  <c r="BV4000" i="2"/>
  <c r="BV4001" i="2"/>
  <c r="BV4002" i="2"/>
  <c r="BV4003" i="2"/>
  <c r="BV4004" i="2"/>
  <c r="BV4005" i="2"/>
  <c r="BV4006" i="2"/>
  <c r="BV4007" i="2"/>
  <c r="BV4008" i="2"/>
  <c r="BV4009" i="2"/>
  <c r="BV4010" i="2"/>
  <c r="BV4011" i="2"/>
  <c r="BV4012" i="2"/>
  <c r="BV4013" i="2"/>
  <c r="BV4014" i="2"/>
  <c r="BV4015" i="2"/>
  <c r="BV4016" i="2"/>
  <c r="BV4017" i="2"/>
  <c r="BV4018" i="2"/>
  <c r="BV4019" i="2"/>
  <c r="BV4020" i="2"/>
  <c r="BV4021" i="2"/>
  <c r="BV4022" i="2"/>
  <c r="BV4023" i="2"/>
  <c r="BV4024" i="2"/>
  <c r="BV4025" i="2"/>
  <c r="BV4026" i="2"/>
  <c r="BV4027" i="2"/>
  <c r="BV4028" i="2"/>
  <c r="BV4029" i="2"/>
  <c r="BV4030" i="2"/>
  <c r="BV4031" i="2"/>
  <c r="BV4032" i="2"/>
  <c r="BV4033" i="2"/>
  <c r="BV4034" i="2"/>
  <c r="BV4035" i="2"/>
  <c r="BV4036" i="2"/>
  <c r="BV4037" i="2"/>
  <c r="BV4038" i="2"/>
  <c r="BV4039" i="2"/>
  <c r="BV4040" i="2"/>
  <c r="BV4041" i="2"/>
  <c r="BV4042" i="2"/>
  <c r="BV4043" i="2"/>
  <c r="BV4044" i="2"/>
  <c r="BV4045" i="2"/>
  <c r="BV4046" i="2"/>
  <c r="BV4047" i="2"/>
  <c r="BV4048" i="2"/>
  <c r="BV4049" i="2"/>
  <c r="BV4050" i="2"/>
  <c r="BV4051" i="2"/>
  <c r="BV4052" i="2"/>
  <c r="BV4053" i="2"/>
  <c r="BV4054" i="2"/>
  <c r="BV4055" i="2"/>
  <c r="BV4056" i="2"/>
  <c r="BV4057" i="2"/>
  <c r="BV4058" i="2"/>
  <c r="BV4059" i="2"/>
  <c r="BV4060" i="2"/>
  <c r="BV4061" i="2"/>
  <c r="BV4062" i="2"/>
  <c r="BV4063" i="2"/>
  <c r="BV4064" i="2"/>
  <c r="BV4065" i="2"/>
  <c r="BV4066" i="2"/>
  <c r="BV4067" i="2"/>
  <c r="BV4068" i="2"/>
  <c r="BV4069" i="2"/>
  <c r="BV4070" i="2"/>
  <c r="BV4071" i="2"/>
  <c r="BV4072" i="2"/>
  <c r="BV4073" i="2"/>
  <c r="BV4074" i="2"/>
  <c r="BV4075" i="2"/>
  <c r="BV4076" i="2"/>
  <c r="BV4077" i="2"/>
  <c r="BV4078" i="2"/>
  <c r="BV4079" i="2"/>
  <c r="BV4080" i="2"/>
  <c r="BV4081" i="2"/>
  <c r="BV4082" i="2"/>
  <c r="BV4083" i="2"/>
  <c r="BV4084" i="2"/>
  <c r="BV4085" i="2"/>
  <c r="BV4086" i="2"/>
  <c r="BV4087" i="2"/>
  <c r="BV4088" i="2"/>
  <c r="BV4089" i="2"/>
  <c r="BV4090" i="2"/>
  <c r="BV4091" i="2"/>
  <c r="BV4092" i="2"/>
  <c r="BV4093" i="2"/>
  <c r="BV4094" i="2"/>
  <c r="BV4095" i="2"/>
  <c r="BV4096" i="2"/>
  <c r="BV4097" i="2"/>
  <c r="BV4098" i="2"/>
  <c r="BV4099" i="2"/>
  <c r="BV4100" i="2"/>
  <c r="BV4101" i="2"/>
  <c r="BV4102" i="2"/>
  <c r="BV4103" i="2"/>
  <c r="BV4104" i="2"/>
  <c r="BV4105" i="2"/>
  <c r="BV4106" i="2"/>
  <c r="BV4107" i="2"/>
  <c r="BV4108" i="2"/>
  <c r="BV4109" i="2"/>
  <c r="BV4110" i="2"/>
  <c r="BV4111" i="2"/>
  <c r="BV4112" i="2"/>
  <c r="BV4113" i="2"/>
  <c r="BV4114" i="2"/>
  <c r="BV4115" i="2"/>
  <c r="BV4116" i="2"/>
  <c r="BV4117" i="2"/>
  <c r="BV4118" i="2"/>
  <c r="BV4119" i="2"/>
  <c r="BV4120" i="2"/>
  <c r="BV4121" i="2"/>
  <c r="BV4122" i="2"/>
  <c r="BV4123" i="2"/>
  <c r="BV4124" i="2"/>
  <c r="BV4125" i="2"/>
  <c r="BV4126" i="2"/>
  <c r="BV4127" i="2"/>
  <c r="BV4128" i="2"/>
  <c r="BV4129" i="2"/>
  <c r="BV4130" i="2"/>
  <c r="BV4131" i="2"/>
  <c r="BV4132" i="2"/>
  <c r="BV4133" i="2"/>
  <c r="BV4134" i="2"/>
  <c r="BV4135" i="2"/>
  <c r="BV4136" i="2"/>
  <c r="BV4137" i="2"/>
  <c r="BV4138" i="2"/>
  <c r="BV4139" i="2"/>
  <c r="BV4140" i="2"/>
  <c r="BV4141" i="2"/>
  <c r="BV4142" i="2"/>
  <c r="BV4143" i="2"/>
  <c r="BV4144" i="2"/>
  <c r="BV4145" i="2"/>
  <c r="BV4146" i="2"/>
  <c r="BV4147" i="2"/>
  <c r="BV4148" i="2"/>
  <c r="BV4149" i="2"/>
  <c r="BV4150" i="2"/>
  <c r="BV4151" i="2"/>
  <c r="BV4152" i="2"/>
  <c r="BV4153" i="2"/>
  <c r="BV4154" i="2"/>
  <c r="BV4155" i="2"/>
  <c r="BV4156" i="2"/>
  <c r="BV4157" i="2"/>
  <c r="BV4158" i="2"/>
  <c r="BV4159" i="2"/>
  <c r="BV4160" i="2"/>
  <c r="BV4161" i="2"/>
  <c r="BV4162" i="2"/>
  <c r="BV4163" i="2"/>
  <c r="BV4164" i="2"/>
  <c r="BV4165" i="2"/>
  <c r="BV4166" i="2"/>
  <c r="BV4167" i="2"/>
  <c r="BV4168" i="2"/>
  <c r="BV4169" i="2"/>
  <c r="BV4170" i="2"/>
  <c r="BV4171" i="2"/>
  <c r="BV4172" i="2"/>
  <c r="BV4173" i="2"/>
  <c r="BV4174" i="2"/>
  <c r="BV4175" i="2"/>
  <c r="BV4176" i="2"/>
  <c r="BV4177" i="2"/>
  <c r="BV4178" i="2"/>
  <c r="BV4179" i="2"/>
  <c r="BV4180" i="2"/>
  <c r="BV4181" i="2"/>
  <c r="BV4182" i="2"/>
  <c r="BV4183" i="2"/>
  <c r="BV4184" i="2"/>
  <c r="BV4185" i="2"/>
  <c r="BV4186" i="2"/>
  <c r="BV4187" i="2"/>
  <c r="BV4188" i="2"/>
  <c r="BV4189" i="2"/>
  <c r="BV4190" i="2"/>
  <c r="BV4191" i="2"/>
  <c r="BV4192" i="2"/>
  <c r="BV4193" i="2"/>
  <c r="BV4194" i="2"/>
  <c r="BV4195" i="2"/>
  <c r="BV4196" i="2"/>
  <c r="BV4197" i="2"/>
  <c r="BV4198" i="2"/>
  <c r="BV4199" i="2"/>
  <c r="BV4200" i="2"/>
  <c r="BV4201" i="2"/>
  <c r="BV4202" i="2"/>
  <c r="BV4203" i="2"/>
  <c r="BV4204" i="2"/>
  <c r="BV4205" i="2"/>
  <c r="BV4206" i="2"/>
  <c r="BV4207" i="2"/>
  <c r="BV4208" i="2"/>
  <c r="BV4209" i="2"/>
  <c r="BV4210" i="2"/>
  <c r="BV4211" i="2"/>
  <c r="BV4212" i="2"/>
  <c r="BV4213" i="2"/>
  <c r="BV4214" i="2"/>
  <c r="BV4215" i="2"/>
  <c r="BV4216" i="2"/>
  <c r="BV4217" i="2"/>
  <c r="BV4218" i="2"/>
  <c r="BV4219" i="2"/>
  <c r="BV4220" i="2"/>
  <c r="BV4221" i="2"/>
  <c r="BV4222" i="2"/>
  <c r="BV4223" i="2"/>
  <c r="BV4224" i="2"/>
  <c r="BV4225" i="2"/>
  <c r="BV4226" i="2"/>
  <c r="BV4227" i="2"/>
  <c r="BV4228" i="2"/>
  <c r="BV4229" i="2"/>
  <c r="BV4230" i="2"/>
  <c r="BV4231" i="2"/>
  <c r="BV4232" i="2"/>
  <c r="BV4233" i="2"/>
  <c r="BV4234" i="2"/>
  <c r="BV4235" i="2"/>
  <c r="BV4236" i="2"/>
  <c r="BV4237" i="2"/>
  <c r="BV4238" i="2"/>
  <c r="BV4239" i="2"/>
  <c r="BV4240" i="2"/>
  <c r="BV4241" i="2"/>
  <c r="BV4242" i="2"/>
  <c r="BV4243" i="2"/>
  <c r="BV4244" i="2"/>
  <c r="BV4245" i="2"/>
  <c r="BV4246" i="2"/>
  <c r="BV4247" i="2"/>
  <c r="BV4248" i="2"/>
  <c r="BV4249" i="2"/>
  <c r="BV4250" i="2"/>
  <c r="BV4251" i="2"/>
  <c r="BV4252" i="2"/>
  <c r="BV4253" i="2"/>
  <c r="BV4254" i="2"/>
  <c r="BV4255" i="2"/>
  <c r="BV4256" i="2"/>
  <c r="BV4257" i="2"/>
  <c r="BV4258" i="2"/>
  <c r="BV4259" i="2"/>
  <c r="BV4260" i="2"/>
  <c r="BV4261" i="2"/>
  <c r="BV4262" i="2"/>
  <c r="BV4263" i="2"/>
  <c r="BV4264" i="2"/>
  <c r="BV4265" i="2"/>
  <c r="BV4266" i="2"/>
  <c r="BV4267" i="2"/>
  <c r="BV4268" i="2"/>
  <c r="BV4269" i="2"/>
  <c r="BV4270" i="2"/>
  <c r="BV4271" i="2"/>
  <c r="BV4272" i="2"/>
  <c r="BV4273" i="2"/>
  <c r="BV4274" i="2"/>
  <c r="BV4275" i="2"/>
  <c r="BV4276" i="2"/>
  <c r="BV4277" i="2"/>
  <c r="BV4278" i="2"/>
  <c r="BV4279" i="2"/>
  <c r="BV4280" i="2"/>
  <c r="BV4281" i="2"/>
  <c r="BV4282" i="2"/>
  <c r="BV4283" i="2"/>
  <c r="BV4284" i="2"/>
  <c r="BV4285" i="2"/>
  <c r="BV4286" i="2"/>
  <c r="BV4287" i="2"/>
  <c r="BV4288" i="2"/>
  <c r="BV4289" i="2"/>
  <c r="BV4290" i="2"/>
  <c r="BV4291" i="2"/>
  <c r="BV4292" i="2"/>
  <c r="BV4293" i="2"/>
  <c r="BV4294" i="2"/>
  <c r="BV4295" i="2"/>
  <c r="BV4296" i="2"/>
  <c r="BV4297" i="2"/>
  <c r="BV4298" i="2"/>
  <c r="BV4299" i="2"/>
  <c r="BV4300" i="2"/>
  <c r="BV4301" i="2"/>
  <c r="BV4302" i="2"/>
  <c r="BV4303" i="2"/>
  <c r="BV4304" i="2"/>
  <c r="BV4305" i="2"/>
  <c r="BV4306" i="2"/>
  <c r="BV4307" i="2"/>
  <c r="BV4308" i="2"/>
  <c r="BV4309" i="2"/>
  <c r="BV4310" i="2"/>
  <c r="BV4311" i="2"/>
  <c r="BV4312" i="2"/>
  <c r="BV4313" i="2"/>
  <c r="BV4314" i="2"/>
  <c r="BV4315" i="2"/>
  <c r="BV4316" i="2"/>
  <c r="BV4317" i="2"/>
  <c r="BV4318" i="2"/>
  <c r="BV4319" i="2"/>
  <c r="BV4320" i="2"/>
  <c r="BV4321" i="2"/>
  <c r="BV4322" i="2"/>
  <c r="BV4323" i="2"/>
  <c r="BV4324" i="2"/>
  <c r="BV4325" i="2"/>
  <c r="BV4326" i="2"/>
  <c r="BV4327" i="2"/>
  <c r="BV4328" i="2"/>
  <c r="BV4329" i="2"/>
  <c r="BV4330" i="2"/>
  <c r="BV4331" i="2"/>
  <c r="BV4332" i="2"/>
  <c r="BV4333" i="2"/>
  <c r="BV4334" i="2"/>
  <c r="BV4335" i="2"/>
  <c r="BV4336" i="2"/>
  <c r="BV4337" i="2"/>
  <c r="BV4338" i="2"/>
  <c r="BV4339" i="2"/>
  <c r="BV4340" i="2"/>
  <c r="BV4341" i="2"/>
  <c r="BV4342" i="2"/>
  <c r="BV4343" i="2"/>
  <c r="BV4344" i="2"/>
  <c r="BV4345" i="2"/>
  <c r="BV4346" i="2"/>
  <c r="BV4347" i="2"/>
  <c r="BV4348" i="2"/>
  <c r="BV4349" i="2"/>
  <c r="BV4350" i="2"/>
  <c r="BV4351" i="2"/>
  <c r="BV4352" i="2"/>
  <c r="BV4353" i="2"/>
  <c r="BV4354" i="2"/>
  <c r="BV4355" i="2"/>
  <c r="BV4356" i="2"/>
  <c r="BV4357" i="2"/>
  <c r="BV4358" i="2"/>
  <c r="BV4359" i="2"/>
  <c r="BV4360" i="2"/>
  <c r="BV4361" i="2"/>
  <c r="BV4362" i="2"/>
  <c r="BV4363" i="2"/>
  <c r="BV4364" i="2"/>
  <c r="BV4365" i="2"/>
  <c r="BV4366" i="2"/>
  <c r="BV4367" i="2"/>
  <c r="BV4368" i="2"/>
  <c r="BV4369" i="2"/>
  <c r="BV4370" i="2"/>
  <c r="BV4371" i="2"/>
  <c r="BV4372" i="2"/>
  <c r="BV4373" i="2"/>
  <c r="BV4374" i="2"/>
  <c r="BV4375" i="2"/>
  <c r="BV4376" i="2"/>
  <c r="BV4377" i="2"/>
  <c r="BV4378" i="2"/>
  <c r="BV4379" i="2"/>
  <c r="BV4380" i="2"/>
  <c r="BV4381" i="2"/>
  <c r="BV4382" i="2"/>
  <c r="BV4383" i="2"/>
  <c r="BV4384" i="2"/>
  <c r="BV4385" i="2"/>
  <c r="BV4386" i="2"/>
  <c r="BV4387" i="2"/>
  <c r="BV4388" i="2"/>
  <c r="BV4389" i="2"/>
  <c r="BV4390" i="2"/>
  <c r="BV4391" i="2"/>
  <c r="BV4392" i="2"/>
  <c r="BV4393" i="2"/>
  <c r="BV4394" i="2"/>
  <c r="BV4395" i="2"/>
  <c r="BV4396" i="2"/>
  <c r="BV4397" i="2"/>
  <c r="BV4398" i="2"/>
  <c r="BV4399" i="2"/>
  <c r="BV4400" i="2"/>
  <c r="BV4401" i="2"/>
  <c r="BV4402" i="2"/>
  <c r="BV4403" i="2"/>
  <c r="BV4404" i="2"/>
  <c r="BV4405" i="2"/>
  <c r="BV4406" i="2"/>
  <c r="BV4407" i="2"/>
  <c r="BV4408" i="2"/>
  <c r="BV4409" i="2"/>
  <c r="BV4410" i="2"/>
  <c r="BV4411" i="2"/>
  <c r="BV4412" i="2"/>
  <c r="BV4413" i="2"/>
  <c r="BV4414" i="2"/>
  <c r="BV4415" i="2"/>
  <c r="BV4416" i="2"/>
  <c r="BV4417" i="2"/>
  <c r="BV4418" i="2"/>
  <c r="BV4419" i="2"/>
  <c r="BV4420" i="2"/>
  <c r="BV4421" i="2"/>
  <c r="BV4422" i="2"/>
  <c r="BV4423" i="2"/>
  <c r="BV4424" i="2"/>
  <c r="BV4425" i="2"/>
  <c r="BV4426" i="2"/>
  <c r="BV4427" i="2"/>
  <c r="BV4428" i="2"/>
  <c r="BV4429" i="2"/>
  <c r="BV4430" i="2"/>
  <c r="BV4431" i="2"/>
  <c r="BV4432" i="2"/>
  <c r="BV4433" i="2"/>
  <c r="BV4434" i="2"/>
  <c r="BV4435" i="2"/>
  <c r="BV4436" i="2"/>
  <c r="BV4437" i="2"/>
  <c r="BV4438" i="2"/>
  <c r="BV4439" i="2"/>
  <c r="BV4440" i="2"/>
  <c r="BV4441" i="2"/>
  <c r="BV4442" i="2"/>
  <c r="BV4443" i="2"/>
  <c r="BV4444" i="2"/>
  <c r="BV4445" i="2"/>
  <c r="BV4446" i="2"/>
  <c r="BV4447" i="2"/>
  <c r="BV4448" i="2"/>
  <c r="BV4449" i="2"/>
  <c r="BV4450" i="2"/>
  <c r="BV4451" i="2"/>
  <c r="BV4452" i="2"/>
  <c r="BV4453" i="2"/>
  <c r="BV4454" i="2"/>
  <c r="BV4455" i="2"/>
  <c r="BV4456" i="2"/>
  <c r="BV4457" i="2"/>
  <c r="BV4458" i="2"/>
  <c r="BV4459" i="2"/>
  <c r="BV4460" i="2"/>
  <c r="BV4461" i="2"/>
  <c r="BV4462" i="2"/>
  <c r="BV4463" i="2"/>
  <c r="BV4464" i="2"/>
  <c r="BV4465" i="2"/>
  <c r="BV4466" i="2"/>
  <c r="BV4467" i="2"/>
  <c r="BV4468" i="2"/>
  <c r="BV4469" i="2"/>
  <c r="BV4470" i="2"/>
  <c r="BV4471" i="2"/>
  <c r="BV4472" i="2"/>
  <c r="BV4473" i="2"/>
  <c r="BV4474" i="2"/>
  <c r="BV4475" i="2"/>
  <c r="BV4476" i="2"/>
  <c r="BV4477" i="2"/>
  <c r="BV4478" i="2"/>
  <c r="BV4479" i="2"/>
  <c r="BV4480" i="2"/>
  <c r="BV4481" i="2"/>
  <c r="BV4482" i="2"/>
  <c r="BV4483" i="2"/>
  <c r="BV4484" i="2"/>
  <c r="BV4485" i="2"/>
  <c r="BV4486" i="2"/>
  <c r="BV4487" i="2"/>
  <c r="BV4488" i="2"/>
  <c r="BV4489" i="2"/>
  <c r="BV4490" i="2"/>
  <c r="BV4491" i="2"/>
  <c r="BV4492" i="2"/>
  <c r="BV4493" i="2"/>
  <c r="BV4494" i="2"/>
  <c r="BV4495" i="2"/>
  <c r="BV4496" i="2"/>
  <c r="BV4497" i="2"/>
  <c r="BV4498" i="2"/>
  <c r="BV4499" i="2"/>
  <c r="BV4500" i="2"/>
  <c r="BV4501" i="2"/>
  <c r="BV4502" i="2"/>
  <c r="BV4503" i="2"/>
  <c r="BV4504" i="2"/>
  <c r="BV4505" i="2"/>
  <c r="BV4506" i="2"/>
  <c r="BV4507" i="2"/>
  <c r="BV4508" i="2"/>
  <c r="BV4509" i="2"/>
  <c r="BV4510" i="2"/>
  <c r="BV4511" i="2"/>
  <c r="BV4512" i="2"/>
  <c r="BV4513" i="2"/>
  <c r="BV4514" i="2"/>
  <c r="BV4515" i="2"/>
  <c r="BV4516" i="2"/>
  <c r="BV4517" i="2"/>
  <c r="BV4518" i="2"/>
  <c r="BV4519" i="2"/>
  <c r="BV4520" i="2"/>
  <c r="BV4521" i="2"/>
  <c r="BV4522" i="2"/>
  <c r="BV4523" i="2"/>
  <c r="BV4524" i="2"/>
  <c r="BV4525" i="2"/>
  <c r="BV4526" i="2"/>
  <c r="BV4527" i="2"/>
  <c r="BV4528" i="2"/>
  <c r="BV4529" i="2"/>
  <c r="BV4530" i="2"/>
  <c r="BV4531" i="2"/>
  <c r="BV4532" i="2"/>
  <c r="BV4533" i="2"/>
  <c r="BV4534" i="2"/>
  <c r="BV4535" i="2"/>
  <c r="BV4536" i="2"/>
  <c r="BV4537" i="2"/>
  <c r="BV4538" i="2"/>
  <c r="BV4539" i="2"/>
  <c r="BV4540" i="2"/>
  <c r="BV4541" i="2"/>
  <c r="BV4542" i="2"/>
  <c r="BV4543" i="2"/>
  <c r="BV4544" i="2"/>
  <c r="BV4545" i="2"/>
  <c r="BV4546" i="2"/>
  <c r="BV4547" i="2"/>
  <c r="BV4548" i="2"/>
  <c r="BV4549" i="2"/>
  <c r="BV4550" i="2"/>
  <c r="BV4551" i="2"/>
  <c r="BV4552" i="2"/>
  <c r="BV4553" i="2"/>
  <c r="BV4554" i="2"/>
  <c r="BV4555" i="2"/>
  <c r="BV4556" i="2"/>
  <c r="BV4557" i="2"/>
  <c r="BV4558" i="2"/>
  <c r="BV4559" i="2"/>
  <c r="BV4560" i="2"/>
  <c r="BV4561" i="2"/>
  <c r="BV4562" i="2"/>
  <c r="BV4563" i="2"/>
  <c r="BV4564" i="2"/>
  <c r="BV4565" i="2"/>
  <c r="BV4566" i="2"/>
  <c r="BV4567" i="2"/>
  <c r="BV4568" i="2"/>
  <c r="BV4569" i="2"/>
  <c r="BV4570" i="2"/>
  <c r="BV4571" i="2"/>
  <c r="BV4572" i="2"/>
  <c r="BV4573" i="2"/>
  <c r="BV4574" i="2"/>
  <c r="BV4575" i="2"/>
  <c r="BV4576" i="2"/>
  <c r="BV4577" i="2"/>
  <c r="BV4578" i="2"/>
  <c r="BV4579" i="2"/>
  <c r="BV4580" i="2"/>
  <c r="BV4581" i="2"/>
  <c r="BV4582" i="2"/>
  <c r="BV4583" i="2"/>
  <c r="BV4584" i="2"/>
  <c r="BV4585" i="2"/>
  <c r="BV4586" i="2"/>
  <c r="BV4587" i="2"/>
  <c r="BV4588" i="2"/>
  <c r="BV4589" i="2"/>
  <c r="BV4590" i="2"/>
  <c r="BV4591" i="2"/>
  <c r="BV4592" i="2"/>
  <c r="BV4593" i="2"/>
  <c r="BV4594" i="2"/>
  <c r="BV4595" i="2"/>
  <c r="BV4596" i="2"/>
  <c r="BV4597" i="2"/>
  <c r="BV4598" i="2"/>
  <c r="BV4599" i="2"/>
  <c r="BV4600" i="2"/>
  <c r="BV4601" i="2"/>
  <c r="BV4602" i="2"/>
  <c r="BV4603" i="2"/>
  <c r="BV4604" i="2"/>
  <c r="BV4605" i="2"/>
  <c r="BV4606" i="2"/>
  <c r="BV4607" i="2"/>
  <c r="BV4608" i="2"/>
  <c r="BV4609" i="2"/>
  <c r="BV4610" i="2"/>
  <c r="BV4611" i="2"/>
  <c r="BV4612" i="2"/>
  <c r="BV4613" i="2"/>
  <c r="BV4614" i="2"/>
  <c r="BV4615" i="2"/>
  <c r="BV4616" i="2"/>
  <c r="BV4617" i="2"/>
  <c r="BV4618" i="2"/>
  <c r="BV4619" i="2"/>
  <c r="BV4620" i="2"/>
  <c r="BV4621" i="2"/>
  <c r="BV4622" i="2"/>
  <c r="BV4623" i="2"/>
  <c r="BV4624" i="2"/>
  <c r="BV4625" i="2"/>
  <c r="BV4626" i="2"/>
  <c r="BV4627" i="2"/>
  <c r="BV4628" i="2"/>
  <c r="BV4629" i="2"/>
  <c r="BV4630" i="2"/>
  <c r="BV4631" i="2"/>
  <c r="BV4632" i="2"/>
  <c r="BV4633" i="2"/>
  <c r="BV4634" i="2"/>
  <c r="BV4635" i="2"/>
  <c r="BV4636" i="2"/>
  <c r="BV4637" i="2"/>
  <c r="BV4638" i="2"/>
  <c r="BV4639" i="2"/>
  <c r="BV4640" i="2"/>
  <c r="BV4641" i="2"/>
  <c r="BV4642" i="2"/>
  <c r="BV4643" i="2"/>
  <c r="BV4644" i="2"/>
  <c r="BV4645" i="2"/>
  <c r="BV4646" i="2"/>
  <c r="BV4647" i="2"/>
  <c r="BV4648" i="2"/>
  <c r="BV4649" i="2"/>
  <c r="BV4650" i="2"/>
  <c r="BV4651" i="2"/>
  <c r="BV4652" i="2"/>
  <c r="BV4653" i="2"/>
  <c r="BV4654" i="2"/>
  <c r="BV4655" i="2"/>
  <c r="BV4656" i="2"/>
  <c r="BV4657" i="2"/>
  <c r="BV4658" i="2"/>
  <c r="BV4659" i="2"/>
  <c r="BV4660" i="2"/>
  <c r="BV4661" i="2"/>
  <c r="BV4662" i="2"/>
  <c r="BV4663" i="2"/>
  <c r="BV4664" i="2"/>
  <c r="BV4665" i="2"/>
  <c r="BV4666" i="2"/>
  <c r="BV4667" i="2"/>
  <c r="BV4668" i="2"/>
  <c r="BV4669" i="2"/>
  <c r="BV4670" i="2"/>
  <c r="BV4671" i="2"/>
  <c r="BV4672" i="2"/>
  <c r="BV4673" i="2"/>
  <c r="BV4674" i="2"/>
  <c r="BV4675" i="2"/>
  <c r="BV4676" i="2"/>
  <c r="BV4677" i="2"/>
  <c r="BV4678" i="2"/>
  <c r="BV4679" i="2"/>
  <c r="BV4680" i="2"/>
  <c r="BV4681" i="2"/>
  <c r="BV4682" i="2"/>
  <c r="BV4683" i="2"/>
  <c r="BV4684" i="2"/>
  <c r="BV4685" i="2"/>
  <c r="BV4686" i="2"/>
  <c r="BV4687" i="2"/>
  <c r="BV4688" i="2"/>
  <c r="BV4689" i="2"/>
  <c r="BV4690" i="2"/>
  <c r="BV4691" i="2"/>
  <c r="BV4692" i="2"/>
  <c r="BV4693" i="2"/>
  <c r="BV4694" i="2"/>
  <c r="BV4695" i="2"/>
  <c r="BV4696" i="2"/>
  <c r="BV4697" i="2"/>
  <c r="BV4698" i="2"/>
  <c r="BV4699" i="2"/>
  <c r="BV4700" i="2"/>
  <c r="BV4701" i="2"/>
  <c r="BV4702" i="2"/>
  <c r="BV4703" i="2"/>
  <c r="BV4704" i="2"/>
  <c r="BV4705" i="2"/>
  <c r="BV4706" i="2"/>
  <c r="BV4707" i="2"/>
  <c r="BV4708" i="2"/>
  <c r="BV4709" i="2"/>
  <c r="BV4710" i="2"/>
  <c r="BV4711" i="2"/>
  <c r="BV4712" i="2"/>
  <c r="BV4713" i="2"/>
  <c r="BV4714" i="2"/>
  <c r="BV4715" i="2"/>
  <c r="BV4716" i="2"/>
  <c r="BV4717" i="2"/>
  <c r="BV4718" i="2"/>
  <c r="BV4719" i="2"/>
  <c r="BV4720" i="2"/>
  <c r="BV4721" i="2"/>
  <c r="BV4722" i="2"/>
  <c r="BV4723" i="2"/>
  <c r="BV4724" i="2"/>
  <c r="BV4725" i="2"/>
  <c r="BV4726" i="2"/>
  <c r="BV4727" i="2"/>
  <c r="BV4728" i="2"/>
  <c r="BV4729" i="2"/>
  <c r="BV4730" i="2"/>
  <c r="BV4731" i="2"/>
  <c r="BV4732" i="2"/>
  <c r="BV4733" i="2"/>
  <c r="BV4734" i="2"/>
  <c r="BV4735" i="2"/>
  <c r="BV4736" i="2"/>
  <c r="BV4737" i="2"/>
  <c r="BV4738" i="2"/>
  <c r="BV4739" i="2"/>
  <c r="BV4740" i="2"/>
  <c r="BV4741" i="2"/>
  <c r="BV4742" i="2"/>
  <c r="BV4743" i="2"/>
  <c r="BV4744" i="2"/>
  <c r="BV4745" i="2"/>
  <c r="BV4746" i="2"/>
  <c r="BV4747" i="2"/>
  <c r="BV4748" i="2"/>
  <c r="BV4749" i="2"/>
  <c r="BV4750" i="2"/>
  <c r="BV4751" i="2"/>
  <c r="BV4752" i="2"/>
  <c r="BV4753" i="2"/>
  <c r="BV4754" i="2"/>
  <c r="BV4755" i="2"/>
  <c r="BV4756" i="2"/>
  <c r="BV4757" i="2"/>
  <c r="BV4758" i="2"/>
  <c r="BV4759" i="2"/>
  <c r="BV4760" i="2"/>
  <c r="BV4761" i="2"/>
  <c r="BV4762" i="2"/>
  <c r="BV4763" i="2"/>
  <c r="BV4764" i="2"/>
  <c r="BV4765" i="2"/>
  <c r="BV4766" i="2"/>
  <c r="BV4767" i="2"/>
  <c r="BV4768" i="2"/>
  <c r="BV4769" i="2"/>
  <c r="BV4770" i="2"/>
  <c r="BV4771" i="2"/>
  <c r="BV4772" i="2"/>
  <c r="BV4773" i="2"/>
  <c r="BV4774" i="2"/>
  <c r="BV4775" i="2"/>
  <c r="BV4776" i="2"/>
  <c r="BV4777" i="2"/>
  <c r="BV4778" i="2"/>
  <c r="BV4779" i="2"/>
  <c r="BV4780" i="2"/>
  <c r="BV4781" i="2"/>
  <c r="BV4782" i="2"/>
  <c r="BV4783" i="2"/>
  <c r="BV4784" i="2"/>
  <c r="BV4785" i="2"/>
  <c r="BV4786" i="2"/>
  <c r="BV4787" i="2"/>
  <c r="BV4788" i="2"/>
  <c r="BV4789" i="2"/>
  <c r="BV4790" i="2"/>
  <c r="BV4791" i="2"/>
  <c r="BV4792" i="2"/>
  <c r="BV4793" i="2"/>
  <c r="BV4794" i="2"/>
  <c r="BV4795" i="2"/>
  <c r="BV4796" i="2"/>
  <c r="BV4797" i="2"/>
  <c r="BV4798" i="2"/>
  <c r="BV4799" i="2"/>
  <c r="BV4800" i="2"/>
  <c r="BV4801" i="2"/>
  <c r="BV4802" i="2"/>
  <c r="BV4803" i="2"/>
  <c r="BV4804" i="2"/>
  <c r="BV4805" i="2"/>
  <c r="BV4806" i="2"/>
  <c r="BV4807" i="2"/>
  <c r="BV4808" i="2"/>
  <c r="BV4809" i="2"/>
  <c r="BV4810" i="2"/>
  <c r="BV4811" i="2"/>
  <c r="BV4812" i="2"/>
  <c r="BV4813" i="2"/>
  <c r="BV4814" i="2"/>
  <c r="BV4815" i="2"/>
  <c r="BV4816" i="2"/>
  <c r="BV4817" i="2"/>
  <c r="BV4818" i="2"/>
  <c r="BV4819" i="2"/>
  <c r="BV4820" i="2"/>
  <c r="BV4821" i="2"/>
  <c r="BV4822" i="2"/>
  <c r="BV4823" i="2"/>
  <c r="BV4824" i="2"/>
  <c r="BV4825" i="2"/>
  <c r="BV4826" i="2"/>
  <c r="BV4827" i="2"/>
  <c r="BV4828" i="2"/>
  <c r="BV4829" i="2"/>
  <c r="BV4830" i="2"/>
  <c r="BV4831" i="2"/>
  <c r="BV4832" i="2"/>
  <c r="BV4833" i="2"/>
  <c r="BV4834" i="2"/>
  <c r="BV4835" i="2"/>
  <c r="BV4836" i="2"/>
  <c r="BV4837" i="2"/>
  <c r="BV4838" i="2"/>
  <c r="BV4839" i="2"/>
  <c r="BV4840" i="2"/>
  <c r="BV4841" i="2"/>
  <c r="BV4842" i="2"/>
  <c r="BV4843" i="2"/>
  <c r="BV4844" i="2"/>
  <c r="BV4845" i="2"/>
  <c r="BV4846" i="2"/>
  <c r="BV4847" i="2"/>
  <c r="BV4848" i="2"/>
  <c r="BV4849" i="2"/>
  <c r="BV4850" i="2"/>
  <c r="BV4851" i="2"/>
  <c r="BV4852" i="2"/>
  <c r="BV4853" i="2"/>
  <c r="BV4854" i="2"/>
  <c r="BV4855" i="2"/>
  <c r="BV4856" i="2"/>
  <c r="BV4857" i="2"/>
  <c r="BV4858" i="2"/>
  <c r="BV4859" i="2"/>
  <c r="BV4860" i="2"/>
  <c r="BV4861" i="2"/>
  <c r="BV4862" i="2"/>
  <c r="BV4863" i="2"/>
  <c r="BV4864" i="2"/>
  <c r="BV4865" i="2"/>
  <c r="BV4866" i="2"/>
  <c r="BV4867" i="2"/>
  <c r="BV4868" i="2"/>
  <c r="BV4869" i="2"/>
  <c r="BV4870" i="2"/>
  <c r="BV4871" i="2"/>
  <c r="BV4872" i="2"/>
  <c r="BV4873" i="2"/>
  <c r="BV4874" i="2"/>
  <c r="BV4875" i="2"/>
  <c r="BV4876" i="2"/>
  <c r="BV4877" i="2"/>
  <c r="BV4878" i="2"/>
  <c r="BV4879" i="2"/>
  <c r="BV4880" i="2"/>
  <c r="BV4881" i="2"/>
  <c r="BV4882" i="2"/>
  <c r="BV4883" i="2"/>
  <c r="BV4884" i="2"/>
  <c r="BV4885" i="2"/>
  <c r="BV4886" i="2"/>
  <c r="BV4887" i="2"/>
  <c r="BV4888" i="2"/>
  <c r="BV4889" i="2"/>
  <c r="BV4890" i="2"/>
  <c r="BV4891" i="2"/>
  <c r="BV4892" i="2"/>
  <c r="BV4893" i="2"/>
  <c r="BV4894" i="2"/>
  <c r="BV4895" i="2"/>
  <c r="BV4896" i="2"/>
  <c r="BV4897" i="2"/>
  <c r="BV4898" i="2"/>
  <c r="BV4899" i="2"/>
  <c r="BV4900" i="2"/>
  <c r="BV4901" i="2"/>
  <c r="BV4902" i="2"/>
  <c r="BV4903" i="2"/>
  <c r="BV4904" i="2"/>
  <c r="BV4905" i="2"/>
  <c r="BV4906" i="2"/>
  <c r="BV4907" i="2"/>
  <c r="BV4908" i="2"/>
  <c r="BV4909" i="2"/>
  <c r="BV4910" i="2"/>
  <c r="BV4911" i="2"/>
  <c r="BV4912" i="2"/>
  <c r="BV4913" i="2"/>
  <c r="BV4914" i="2"/>
  <c r="BV4915" i="2"/>
  <c r="BV4916" i="2"/>
  <c r="BV4917" i="2"/>
  <c r="BV4918" i="2"/>
  <c r="BV4919" i="2"/>
  <c r="BV4920" i="2"/>
  <c r="BV4921" i="2"/>
  <c r="BV4922" i="2"/>
  <c r="BV4923" i="2"/>
  <c r="BV4924" i="2"/>
  <c r="BV4925" i="2"/>
  <c r="BV4926" i="2"/>
  <c r="BV4927" i="2"/>
  <c r="BV4928" i="2"/>
  <c r="BV4929" i="2"/>
  <c r="BV4930" i="2"/>
  <c r="BV4931" i="2"/>
  <c r="BV4932" i="2"/>
  <c r="BV4933" i="2"/>
  <c r="BV4934" i="2"/>
  <c r="BV4935" i="2"/>
  <c r="BV4936" i="2"/>
  <c r="BV4937" i="2"/>
  <c r="BV4938" i="2"/>
  <c r="BV4939" i="2"/>
  <c r="BV4940" i="2"/>
  <c r="BV4941" i="2"/>
  <c r="BV4942" i="2"/>
  <c r="BV4943" i="2"/>
  <c r="BV4944" i="2"/>
  <c r="BV4945" i="2"/>
  <c r="BV4946" i="2"/>
  <c r="BV4947" i="2"/>
  <c r="BV4948" i="2"/>
  <c r="BV4949" i="2"/>
  <c r="BV4950" i="2"/>
  <c r="BV4951" i="2"/>
  <c r="BV4952" i="2"/>
  <c r="BV4953" i="2"/>
  <c r="BV4954" i="2"/>
  <c r="BV4955" i="2"/>
  <c r="BV4956" i="2"/>
  <c r="BV4957" i="2"/>
  <c r="BV4958" i="2"/>
  <c r="BV4959" i="2"/>
  <c r="BV4960" i="2"/>
  <c r="BV4961" i="2"/>
  <c r="BV4962" i="2"/>
  <c r="BV4963" i="2"/>
  <c r="BV4964" i="2"/>
  <c r="BV4965" i="2"/>
  <c r="BV4966" i="2"/>
  <c r="BV4967" i="2"/>
  <c r="BV4968" i="2"/>
  <c r="BV4969" i="2"/>
  <c r="BV4970" i="2"/>
  <c r="BV4971" i="2"/>
  <c r="BV4972" i="2"/>
  <c r="BV4973" i="2"/>
  <c r="BV4974" i="2"/>
  <c r="BV4975" i="2"/>
  <c r="BV4976" i="2"/>
  <c r="BV4977" i="2"/>
  <c r="BV4978" i="2"/>
  <c r="BV4979" i="2"/>
  <c r="BV4980" i="2"/>
  <c r="BV4981" i="2"/>
  <c r="BV4982" i="2"/>
  <c r="BV4983" i="2"/>
  <c r="BV4984" i="2"/>
  <c r="BV4985" i="2"/>
  <c r="BV4986" i="2"/>
  <c r="BV4987" i="2"/>
  <c r="BV4988" i="2"/>
  <c r="BV4989" i="2"/>
  <c r="BV4990" i="2"/>
  <c r="BV4991" i="2"/>
  <c r="BV4992" i="2"/>
  <c r="BV4993" i="2"/>
  <c r="BV4994" i="2"/>
  <c r="BV4995" i="2"/>
  <c r="BV4996" i="2"/>
  <c r="BV4997" i="2"/>
  <c r="BV4998" i="2"/>
  <c r="BV4999" i="2"/>
  <c r="BV5000" i="2"/>
  <c r="BV5001" i="2"/>
  <c r="BV5002" i="2"/>
  <c r="BV5003" i="2"/>
  <c r="BV5004" i="2"/>
  <c r="BV5005" i="2"/>
  <c r="BV5006" i="2"/>
  <c r="BV5007" i="2"/>
  <c r="BV5008" i="2"/>
  <c r="BV5009" i="2"/>
  <c r="BV5010" i="2"/>
  <c r="BV5011" i="2"/>
  <c r="BV5012" i="2"/>
  <c r="BV5013" i="2"/>
  <c r="BV5014" i="2"/>
  <c r="BV5015" i="2"/>
  <c r="BV5016" i="2"/>
  <c r="BV5017" i="2"/>
  <c r="BV5018" i="2"/>
  <c r="BV5019" i="2"/>
  <c r="BV5020" i="2"/>
  <c r="BV5021" i="2"/>
  <c r="BV5022" i="2"/>
  <c r="BV5023" i="2"/>
  <c r="BV5024" i="2"/>
  <c r="BV5025" i="2"/>
  <c r="BV5026" i="2"/>
  <c r="BV5027" i="2"/>
  <c r="BV5028" i="2"/>
  <c r="BV5029" i="2"/>
  <c r="BV5030" i="2"/>
  <c r="BV5031" i="2"/>
  <c r="BV5032" i="2"/>
  <c r="BV5033" i="2"/>
  <c r="BV5034" i="2"/>
  <c r="BV5035" i="2"/>
  <c r="BV5036" i="2"/>
  <c r="BV5037" i="2"/>
  <c r="BV5038" i="2"/>
  <c r="BV5039" i="2"/>
  <c r="BV5040" i="2"/>
  <c r="BV5041" i="2"/>
  <c r="BV5042" i="2"/>
  <c r="BV5043" i="2"/>
  <c r="BV5044" i="2"/>
  <c r="BV5045" i="2"/>
  <c r="BV5046" i="2"/>
  <c r="BV5047" i="2"/>
  <c r="BV5048" i="2"/>
  <c r="BV5049" i="2"/>
  <c r="BV5050" i="2"/>
  <c r="BV5051" i="2"/>
  <c r="BV5052" i="2"/>
  <c r="BV5053" i="2"/>
  <c r="BV5054" i="2"/>
  <c r="BV5055" i="2"/>
  <c r="BV5056" i="2"/>
  <c r="BV5057" i="2"/>
  <c r="BV5058" i="2"/>
  <c r="BV5059" i="2"/>
  <c r="BV5060" i="2"/>
  <c r="BV5061" i="2"/>
  <c r="BV5062" i="2"/>
  <c r="BV5063" i="2"/>
  <c r="BV5064" i="2"/>
  <c r="BV5065" i="2"/>
  <c r="BV5066" i="2"/>
  <c r="BV5067" i="2"/>
  <c r="BV5068" i="2"/>
  <c r="BV5069" i="2"/>
  <c r="BV5070" i="2"/>
  <c r="BV5071" i="2"/>
  <c r="BV5072" i="2"/>
  <c r="BV5073" i="2"/>
  <c r="BV5074" i="2"/>
  <c r="BV5075" i="2"/>
  <c r="BV5076" i="2"/>
  <c r="BV5077" i="2"/>
  <c r="BV5078" i="2"/>
  <c r="BV5079" i="2"/>
  <c r="BV5080" i="2"/>
  <c r="BV5081" i="2"/>
  <c r="BV5082" i="2"/>
  <c r="BV5083" i="2"/>
  <c r="BV5084" i="2"/>
  <c r="BV5085" i="2"/>
  <c r="BV5086" i="2"/>
  <c r="BV5087" i="2"/>
  <c r="BV5088" i="2"/>
  <c r="BV5089" i="2"/>
  <c r="BV5090" i="2"/>
  <c r="BV5091" i="2"/>
  <c r="BV5092" i="2"/>
  <c r="BV5093" i="2"/>
  <c r="BV5094" i="2"/>
  <c r="BV5095" i="2"/>
  <c r="BV5096" i="2"/>
  <c r="BV5097" i="2"/>
  <c r="BV5098" i="2"/>
  <c r="BV5099" i="2"/>
  <c r="BV5100" i="2"/>
  <c r="BV5101" i="2"/>
  <c r="BV5102" i="2"/>
  <c r="BV5103" i="2"/>
  <c r="BV5104" i="2"/>
  <c r="BV5105" i="2"/>
  <c r="BV5106" i="2"/>
  <c r="BV5107" i="2"/>
  <c r="BV5108" i="2"/>
  <c r="BV5109" i="2"/>
  <c r="BV5110" i="2"/>
  <c r="BV5111" i="2"/>
  <c r="BV5112" i="2"/>
  <c r="BV5113" i="2"/>
  <c r="BV5114" i="2"/>
  <c r="BV5115" i="2"/>
  <c r="BV5116" i="2"/>
  <c r="BV5117" i="2"/>
  <c r="BV5118" i="2"/>
  <c r="BV5119" i="2"/>
  <c r="BV5120" i="2"/>
  <c r="BV5121" i="2"/>
  <c r="BV5122" i="2"/>
  <c r="BV5123" i="2"/>
  <c r="BV5124" i="2"/>
  <c r="BV5125" i="2"/>
  <c r="BV5126" i="2"/>
  <c r="BV5127" i="2"/>
  <c r="BV5128" i="2"/>
  <c r="BV5129" i="2"/>
  <c r="BV5130" i="2"/>
  <c r="BV5131" i="2"/>
  <c r="BV5132" i="2"/>
  <c r="BV5133" i="2"/>
  <c r="BV5134" i="2"/>
  <c r="BV5135" i="2"/>
  <c r="BV5136" i="2"/>
  <c r="BV5137" i="2"/>
  <c r="BV5138" i="2"/>
  <c r="BV5139" i="2"/>
  <c r="BV5140" i="2"/>
  <c r="BV5141" i="2"/>
  <c r="BV5142" i="2"/>
  <c r="BV5143" i="2"/>
  <c r="BV5144" i="2"/>
  <c r="BV5145" i="2"/>
  <c r="BV5146" i="2"/>
  <c r="BV5147" i="2"/>
  <c r="BV5148" i="2"/>
  <c r="BV5149" i="2"/>
  <c r="BV5150" i="2"/>
  <c r="BV5151" i="2"/>
  <c r="BV5152" i="2"/>
  <c r="BV5153" i="2"/>
  <c r="BV5154" i="2"/>
  <c r="BV5155" i="2"/>
  <c r="BV5156" i="2"/>
  <c r="BV5157" i="2"/>
  <c r="BV5158" i="2"/>
  <c r="BV5159" i="2"/>
  <c r="BV5160" i="2"/>
  <c r="BV5161" i="2"/>
  <c r="BV5162" i="2"/>
  <c r="BV5163" i="2"/>
  <c r="BV5164" i="2"/>
  <c r="BV5165" i="2"/>
  <c r="BV5166" i="2"/>
  <c r="BV5167" i="2"/>
  <c r="BV5168" i="2"/>
  <c r="BV5169" i="2"/>
  <c r="BV5170" i="2"/>
  <c r="BV5171" i="2"/>
  <c r="BV5172" i="2"/>
  <c r="BV5173" i="2"/>
  <c r="BV5174" i="2"/>
  <c r="BV5175" i="2"/>
  <c r="BV5176" i="2"/>
  <c r="BV5177" i="2"/>
  <c r="BV5178" i="2"/>
  <c r="BV5179" i="2"/>
  <c r="BV5180" i="2"/>
  <c r="BV5181" i="2"/>
  <c r="BV5182" i="2"/>
  <c r="BV5183" i="2"/>
  <c r="BV5184" i="2"/>
  <c r="BV5185" i="2"/>
  <c r="BV5186" i="2"/>
  <c r="BV5187" i="2"/>
  <c r="BV5188" i="2"/>
  <c r="BV5189" i="2"/>
  <c r="BV5190" i="2"/>
  <c r="BV5191" i="2"/>
  <c r="BV5192" i="2"/>
  <c r="BV5193" i="2"/>
  <c r="BV5194" i="2"/>
  <c r="BV5195" i="2"/>
  <c r="BV5196" i="2"/>
  <c r="BV5197" i="2"/>
  <c r="BV5198" i="2"/>
  <c r="BV5199" i="2"/>
  <c r="BV5200" i="2"/>
  <c r="BV5201" i="2"/>
  <c r="BV5202" i="2"/>
  <c r="BV5203" i="2"/>
  <c r="BV5204" i="2"/>
  <c r="BV5205" i="2"/>
  <c r="BV5206" i="2"/>
  <c r="BV5207" i="2"/>
  <c r="BV5208" i="2"/>
  <c r="BV5209" i="2"/>
  <c r="BV5210" i="2"/>
  <c r="BV5211" i="2"/>
  <c r="BV5212" i="2"/>
  <c r="BV5213" i="2"/>
  <c r="BV5214" i="2"/>
  <c r="BV5215" i="2"/>
  <c r="BV5216" i="2"/>
  <c r="BV5217" i="2"/>
  <c r="BV5218" i="2"/>
  <c r="BV5219" i="2"/>
  <c r="BV5220" i="2"/>
  <c r="BV5221" i="2"/>
  <c r="BV5222" i="2"/>
  <c r="BV5223" i="2"/>
  <c r="BV5224" i="2"/>
  <c r="BV5225" i="2"/>
  <c r="BV5226" i="2"/>
  <c r="BV5227" i="2"/>
  <c r="BV5228" i="2"/>
  <c r="BV5229" i="2"/>
  <c r="BV5230" i="2"/>
  <c r="BV5231" i="2"/>
  <c r="BV5232" i="2"/>
  <c r="BV5233" i="2"/>
  <c r="BV5234" i="2"/>
  <c r="BV5235" i="2"/>
  <c r="BV5236" i="2"/>
  <c r="BV5237" i="2"/>
  <c r="BV5238" i="2"/>
  <c r="BV5239" i="2"/>
  <c r="BV5240" i="2"/>
  <c r="BV5241" i="2"/>
  <c r="BV5242" i="2"/>
  <c r="BV5243" i="2"/>
  <c r="BV5244" i="2"/>
  <c r="BV5245" i="2"/>
  <c r="BV5246" i="2"/>
  <c r="BV5247" i="2"/>
  <c r="BV5248" i="2"/>
  <c r="BV5249" i="2"/>
  <c r="BV5250" i="2"/>
  <c r="BV5251" i="2"/>
  <c r="BV5252" i="2"/>
  <c r="BV5253" i="2"/>
  <c r="BV5254" i="2"/>
  <c r="BV5255" i="2"/>
  <c r="BV5256" i="2"/>
  <c r="BV5257" i="2"/>
  <c r="BV5258" i="2"/>
  <c r="BV5259" i="2"/>
  <c r="BV5260" i="2"/>
  <c r="BV5261" i="2"/>
  <c r="BV5262" i="2"/>
  <c r="BV5263" i="2"/>
  <c r="BV5264" i="2"/>
  <c r="BV5265" i="2"/>
  <c r="BV5266" i="2"/>
  <c r="BV5267" i="2"/>
  <c r="BV5268" i="2"/>
  <c r="BV5269" i="2"/>
  <c r="BV5270" i="2"/>
  <c r="BV5271" i="2"/>
  <c r="BV5272" i="2"/>
  <c r="BV5273" i="2"/>
  <c r="BV5274" i="2"/>
  <c r="BV5275" i="2"/>
  <c r="BV5276" i="2"/>
  <c r="BV5277" i="2"/>
  <c r="BV5278" i="2"/>
  <c r="BV5279" i="2"/>
  <c r="BV5280" i="2"/>
  <c r="BV5281" i="2"/>
  <c r="BV5282" i="2"/>
  <c r="BV5283" i="2"/>
  <c r="BV5284" i="2"/>
  <c r="BV5285" i="2"/>
  <c r="BV5286" i="2"/>
  <c r="BV5287" i="2"/>
  <c r="BV5288" i="2"/>
  <c r="BV5289" i="2"/>
  <c r="BV5290" i="2"/>
  <c r="BV5291" i="2"/>
  <c r="BV5292" i="2"/>
  <c r="BV5293" i="2"/>
  <c r="BV5294" i="2"/>
  <c r="BV5295" i="2"/>
  <c r="BV5296" i="2"/>
  <c r="BV5297" i="2"/>
  <c r="BV5298" i="2"/>
  <c r="BV5299" i="2"/>
  <c r="BV5300" i="2"/>
  <c r="BV5301" i="2"/>
  <c r="BV5302" i="2"/>
  <c r="BV5303" i="2"/>
  <c r="BV5304" i="2"/>
  <c r="BV5305" i="2"/>
  <c r="BV5306" i="2"/>
  <c r="BV5307" i="2"/>
  <c r="BV5308" i="2"/>
  <c r="BV5309" i="2"/>
  <c r="BV5310" i="2"/>
  <c r="BV5311" i="2"/>
  <c r="BV5312" i="2"/>
  <c r="BV5313" i="2"/>
  <c r="BV5314" i="2"/>
  <c r="BV5315" i="2"/>
  <c r="BV5316" i="2"/>
  <c r="BV5317" i="2"/>
  <c r="BV5318" i="2"/>
  <c r="BV5319" i="2"/>
  <c r="BV5320" i="2"/>
  <c r="BV5321" i="2"/>
  <c r="BV5322" i="2"/>
  <c r="BV5323" i="2"/>
  <c r="BV5324" i="2"/>
  <c r="BV5325" i="2"/>
  <c r="BV5326" i="2"/>
  <c r="BV5327" i="2"/>
  <c r="BV5328" i="2"/>
  <c r="BV5329" i="2"/>
  <c r="BV5330" i="2"/>
  <c r="BV5331" i="2"/>
  <c r="BV5332" i="2"/>
  <c r="BV5333" i="2"/>
  <c r="BV5334" i="2"/>
  <c r="BV5335" i="2"/>
  <c r="BV5336" i="2"/>
  <c r="BV5337" i="2"/>
  <c r="BV5338" i="2"/>
  <c r="BV5339" i="2"/>
  <c r="BV5340" i="2"/>
  <c r="BV5341" i="2"/>
  <c r="BV5342" i="2"/>
  <c r="BV5343" i="2"/>
  <c r="BV5344" i="2"/>
  <c r="BV5345" i="2"/>
  <c r="BV5346" i="2"/>
  <c r="BV5347" i="2"/>
  <c r="BV5348" i="2"/>
  <c r="BV5349" i="2"/>
  <c r="BV5350" i="2"/>
  <c r="BV5351" i="2"/>
  <c r="BV5352" i="2"/>
  <c r="BV5353" i="2"/>
  <c r="BV5354" i="2"/>
  <c r="BV5355" i="2"/>
  <c r="BV5356" i="2"/>
  <c r="BV5357" i="2"/>
  <c r="BV5358" i="2"/>
  <c r="BV5359" i="2"/>
  <c r="BV5360" i="2"/>
  <c r="BV5361" i="2"/>
  <c r="BV5362" i="2"/>
  <c r="BV5363" i="2"/>
  <c r="BV5364" i="2"/>
  <c r="BV5365" i="2"/>
  <c r="BV5366" i="2"/>
  <c r="BV5367" i="2"/>
  <c r="BV5368" i="2"/>
  <c r="BV5369" i="2"/>
  <c r="BV5370" i="2"/>
  <c r="BV5371" i="2"/>
  <c r="BV5372" i="2"/>
  <c r="BV5373" i="2"/>
  <c r="BV5374" i="2"/>
  <c r="BV5375" i="2"/>
  <c r="BV5376" i="2"/>
  <c r="BV5377" i="2"/>
  <c r="BV5378" i="2"/>
  <c r="BV5379" i="2"/>
  <c r="BV5380" i="2"/>
  <c r="BV5381" i="2"/>
  <c r="BV5382" i="2"/>
  <c r="BV5383" i="2"/>
  <c r="BV5384" i="2"/>
  <c r="BV5385" i="2"/>
  <c r="BV5386" i="2"/>
  <c r="BV5387" i="2"/>
  <c r="BV5388" i="2"/>
  <c r="BV5389" i="2"/>
  <c r="BV5390" i="2"/>
  <c r="BV5391" i="2"/>
  <c r="BV5392" i="2"/>
  <c r="BV5393" i="2"/>
  <c r="BV5394" i="2"/>
  <c r="BV5395" i="2"/>
  <c r="BV5396" i="2"/>
  <c r="BV5397" i="2"/>
  <c r="BV5398" i="2"/>
  <c r="BV5399" i="2"/>
  <c r="BV5400" i="2"/>
  <c r="BV5401" i="2"/>
  <c r="BV5402" i="2"/>
  <c r="BV5403" i="2"/>
  <c r="BV5404" i="2"/>
  <c r="BV5405" i="2"/>
  <c r="BV5406" i="2"/>
  <c r="BV5407" i="2"/>
  <c r="BV5408" i="2"/>
  <c r="BV5409" i="2"/>
  <c r="BV5410" i="2"/>
  <c r="BV5411" i="2"/>
  <c r="BV5412" i="2"/>
  <c r="BV5413" i="2"/>
  <c r="BV5414" i="2"/>
  <c r="BV5415" i="2"/>
  <c r="BV5416" i="2"/>
  <c r="BV5417" i="2"/>
  <c r="BV5418" i="2"/>
  <c r="BV5419" i="2"/>
  <c r="BV5420" i="2"/>
  <c r="BV5421" i="2"/>
  <c r="BV5422" i="2"/>
  <c r="BV5423" i="2"/>
  <c r="BV5424" i="2"/>
  <c r="BV5425" i="2"/>
  <c r="BV5426" i="2"/>
  <c r="BV5427" i="2"/>
  <c r="BV5428" i="2"/>
  <c r="BV5429" i="2"/>
  <c r="BV5430" i="2"/>
  <c r="BV5431" i="2"/>
  <c r="BV5432" i="2"/>
  <c r="BV5433" i="2"/>
  <c r="BV5434" i="2"/>
  <c r="BV5435" i="2"/>
  <c r="BV5436" i="2"/>
  <c r="BV5437" i="2"/>
  <c r="BV5438" i="2"/>
  <c r="BV5439" i="2"/>
  <c r="BV5440" i="2"/>
  <c r="BV5441" i="2"/>
  <c r="BV5442" i="2"/>
  <c r="BV5443" i="2"/>
  <c r="BV5444" i="2"/>
  <c r="BV5445" i="2"/>
  <c r="BV5446" i="2"/>
  <c r="BV5447" i="2"/>
  <c r="BV5448" i="2"/>
  <c r="BV5449" i="2"/>
  <c r="BV5450" i="2"/>
  <c r="BV5451" i="2"/>
  <c r="BV5452" i="2"/>
  <c r="BV5453" i="2"/>
  <c r="BV5454" i="2"/>
  <c r="BV5455" i="2"/>
  <c r="BV5456" i="2"/>
  <c r="BV5457" i="2"/>
  <c r="BV5458" i="2"/>
  <c r="BV5459" i="2"/>
  <c r="BV5460" i="2"/>
  <c r="BV5461" i="2"/>
  <c r="BV5462" i="2"/>
  <c r="BV5463" i="2"/>
  <c r="BV5464" i="2"/>
  <c r="BV5465" i="2"/>
  <c r="BV5466" i="2"/>
  <c r="BV5467" i="2"/>
  <c r="BV5468" i="2"/>
  <c r="BV5469" i="2"/>
  <c r="BV5470" i="2"/>
  <c r="BV5471" i="2"/>
  <c r="BV5472" i="2"/>
  <c r="BV5473" i="2"/>
  <c r="BV5474" i="2"/>
  <c r="BV5475" i="2"/>
  <c r="BV5476" i="2"/>
  <c r="BV5477" i="2"/>
  <c r="BV5478" i="2"/>
  <c r="BV5479" i="2"/>
  <c r="BV5480" i="2"/>
  <c r="BV5481" i="2"/>
  <c r="BV5482" i="2"/>
  <c r="BV5483" i="2"/>
  <c r="BV5484" i="2"/>
  <c r="BV5485" i="2"/>
  <c r="BV5486" i="2"/>
  <c r="BV5487" i="2"/>
  <c r="BV5488" i="2"/>
  <c r="BV5489" i="2"/>
  <c r="BV5490" i="2"/>
  <c r="BV5491" i="2"/>
  <c r="BV5492" i="2"/>
  <c r="BV5493" i="2"/>
  <c r="BV5494" i="2"/>
  <c r="BV5495" i="2"/>
  <c r="BV5496" i="2"/>
  <c r="BV5497" i="2"/>
  <c r="BV5498" i="2"/>
  <c r="BV5499" i="2"/>
  <c r="BV5500" i="2"/>
  <c r="BV5501" i="2"/>
  <c r="BV5502" i="2"/>
  <c r="BV5503" i="2"/>
  <c r="BV5504" i="2"/>
  <c r="BV5505" i="2"/>
  <c r="BV5506" i="2"/>
  <c r="BV5507" i="2"/>
  <c r="BV5508" i="2"/>
  <c r="BV5509" i="2"/>
  <c r="BV5510" i="2"/>
  <c r="BV5511" i="2"/>
  <c r="BV5512" i="2"/>
  <c r="BV5513" i="2"/>
  <c r="BV5514" i="2"/>
  <c r="BV5515" i="2"/>
  <c r="BV5516" i="2"/>
  <c r="BV5517" i="2"/>
  <c r="BV5518" i="2"/>
  <c r="BV5519" i="2"/>
  <c r="BV5520" i="2"/>
  <c r="BV5521" i="2"/>
  <c r="BV5522" i="2"/>
  <c r="BV5523" i="2"/>
  <c r="BV5524" i="2"/>
  <c r="BV5525" i="2"/>
  <c r="BV5526" i="2"/>
  <c r="BV5527" i="2"/>
  <c r="BV5528" i="2"/>
  <c r="BV5529" i="2"/>
  <c r="BV5530" i="2"/>
  <c r="BV5531" i="2"/>
  <c r="BV5532" i="2"/>
  <c r="BV5533" i="2"/>
  <c r="BV5534" i="2"/>
  <c r="BV5535" i="2"/>
  <c r="BV5536" i="2"/>
  <c r="BV5537" i="2"/>
  <c r="BV5538" i="2"/>
  <c r="BV5539" i="2"/>
  <c r="BV5540" i="2"/>
  <c r="BV5541" i="2"/>
  <c r="BV5542" i="2"/>
  <c r="BV5543" i="2"/>
  <c r="BV5544" i="2"/>
  <c r="BV5545" i="2"/>
  <c r="BV5546" i="2"/>
  <c r="BV5547" i="2"/>
  <c r="BV5548" i="2"/>
  <c r="BV5549" i="2"/>
  <c r="BV5550" i="2"/>
  <c r="BV5551" i="2"/>
  <c r="BV5552" i="2"/>
  <c r="BV5553" i="2"/>
  <c r="BV5554" i="2"/>
  <c r="BV5555" i="2"/>
  <c r="BV5556" i="2"/>
  <c r="BV5557" i="2"/>
  <c r="BV5558" i="2"/>
  <c r="BV5559" i="2"/>
  <c r="BV5560" i="2"/>
  <c r="BV5561" i="2"/>
  <c r="BV5562" i="2"/>
  <c r="BV5563" i="2"/>
  <c r="BV5564" i="2"/>
  <c r="BV5565" i="2"/>
  <c r="BV5566" i="2"/>
  <c r="BV5567" i="2"/>
  <c r="BV5568" i="2"/>
  <c r="BV5569" i="2"/>
  <c r="BV5570" i="2"/>
  <c r="BV5571" i="2"/>
  <c r="BV5572" i="2"/>
  <c r="BV5573" i="2"/>
  <c r="BV5574" i="2"/>
  <c r="BV5575" i="2"/>
  <c r="BV5576" i="2"/>
  <c r="BV5577" i="2"/>
  <c r="BV5578" i="2"/>
  <c r="BV5579" i="2"/>
  <c r="BV5580" i="2"/>
  <c r="BV5581" i="2"/>
  <c r="BV5582" i="2"/>
  <c r="BV5583" i="2"/>
  <c r="BV5584" i="2"/>
  <c r="BV5585" i="2"/>
  <c r="BV5586" i="2"/>
  <c r="BV5587" i="2"/>
  <c r="BV5588" i="2"/>
  <c r="BV5589" i="2"/>
  <c r="BV5590" i="2"/>
  <c r="BV5591" i="2"/>
  <c r="BV5592" i="2"/>
  <c r="BV5593" i="2"/>
  <c r="BV5594" i="2"/>
  <c r="BV5595" i="2"/>
  <c r="BV5596" i="2"/>
  <c r="BV5597" i="2"/>
  <c r="BV5598" i="2"/>
  <c r="BV5599" i="2"/>
  <c r="BV5600" i="2"/>
  <c r="BV5601" i="2"/>
  <c r="BV5602" i="2"/>
  <c r="BV5603" i="2"/>
  <c r="BV5604" i="2"/>
  <c r="BV5605" i="2"/>
  <c r="BV5606" i="2"/>
  <c r="BV5607" i="2"/>
  <c r="BV5608" i="2"/>
  <c r="BV5609" i="2"/>
  <c r="BV5610" i="2"/>
  <c r="BV5611" i="2"/>
  <c r="BV5612" i="2"/>
  <c r="BV5613" i="2"/>
  <c r="BV5614" i="2"/>
  <c r="BV5615" i="2"/>
  <c r="BV5616" i="2"/>
  <c r="BV5617" i="2"/>
  <c r="BV5618" i="2"/>
  <c r="BV5619" i="2"/>
  <c r="BV5620" i="2"/>
  <c r="BV5621" i="2"/>
  <c r="BV5622" i="2"/>
  <c r="BV5623" i="2"/>
  <c r="BV5624" i="2"/>
  <c r="BV5625" i="2"/>
  <c r="BV5626" i="2"/>
  <c r="BV5627" i="2"/>
  <c r="BV5628" i="2"/>
  <c r="BV5629" i="2"/>
  <c r="BV5630" i="2"/>
  <c r="BV5631" i="2"/>
  <c r="BV5632" i="2"/>
  <c r="BV5633" i="2"/>
  <c r="BV5634" i="2"/>
  <c r="BV5635" i="2"/>
  <c r="BV5636" i="2"/>
  <c r="BV5637" i="2"/>
  <c r="BV5638" i="2"/>
  <c r="BV5639" i="2"/>
  <c r="BV5640" i="2"/>
  <c r="BV5641" i="2"/>
  <c r="BV5642" i="2"/>
  <c r="BV5643" i="2"/>
  <c r="BV5644" i="2"/>
  <c r="BV5645" i="2"/>
  <c r="BV5646" i="2"/>
  <c r="BV5647" i="2"/>
  <c r="BV5648" i="2"/>
  <c r="BV5649" i="2"/>
  <c r="BV5650" i="2"/>
  <c r="BV5651" i="2"/>
  <c r="BV5652" i="2"/>
  <c r="BV5653" i="2"/>
  <c r="BV5654" i="2"/>
  <c r="BV5655" i="2"/>
  <c r="BV5656" i="2"/>
  <c r="BV5657" i="2"/>
  <c r="BV5658" i="2"/>
  <c r="BV5659" i="2"/>
  <c r="BV5660" i="2"/>
  <c r="BV5661" i="2"/>
  <c r="BV5662" i="2"/>
  <c r="BV5663" i="2"/>
  <c r="BV5664" i="2"/>
  <c r="BV5665" i="2"/>
  <c r="BV5666" i="2"/>
  <c r="BV5667" i="2"/>
  <c r="BV5668" i="2"/>
  <c r="BV5669" i="2"/>
  <c r="BV5670" i="2"/>
  <c r="BV5671" i="2"/>
  <c r="BV5672" i="2"/>
  <c r="BV5673" i="2"/>
  <c r="BV5674" i="2"/>
  <c r="BV5675" i="2"/>
  <c r="BV5676" i="2"/>
  <c r="BV5677" i="2"/>
  <c r="BV5678" i="2"/>
  <c r="BV5679" i="2"/>
  <c r="BV5680" i="2"/>
  <c r="BV5681" i="2"/>
  <c r="BV5682" i="2"/>
  <c r="BV5683" i="2"/>
  <c r="BV5684" i="2"/>
  <c r="BV5685" i="2"/>
  <c r="BV5686" i="2"/>
  <c r="BV5687" i="2"/>
  <c r="BV5688" i="2"/>
  <c r="BV5689" i="2"/>
  <c r="BV5690" i="2"/>
  <c r="BV5691" i="2"/>
  <c r="BV5692" i="2"/>
  <c r="BV5693" i="2"/>
  <c r="BV5694" i="2"/>
  <c r="BV5695" i="2"/>
  <c r="BV5696" i="2"/>
  <c r="BV5697" i="2"/>
  <c r="BV5698" i="2"/>
  <c r="BV5699" i="2"/>
  <c r="BV5700" i="2"/>
  <c r="BV5701" i="2"/>
  <c r="BV5702" i="2"/>
  <c r="BV5703" i="2"/>
  <c r="BV5704" i="2"/>
  <c r="BV5705" i="2"/>
  <c r="BV5706" i="2"/>
  <c r="BV5707" i="2"/>
  <c r="BV5708" i="2"/>
  <c r="BV5709" i="2"/>
  <c r="BV5710" i="2"/>
  <c r="BV5711" i="2"/>
  <c r="BV5712" i="2"/>
  <c r="BV5713" i="2"/>
  <c r="BV5714" i="2"/>
  <c r="BV5715" i="2"/>
  <c r="BV5716" i="2"/>
  <c r="BV5717" i="2"/>
  <c r="BV5718" i="2"/>
  <c r="BV5719" i="2"/>
  <c r="BV5720" i="2"/>
  <c r="BV5721" i="2"/>
  <c r="BV5722" i="2"/>
  <c r="BV5723" i="2"/>
  <c r="BV5724" i="2"/>
  <c r="BV5725" i="2"/>
  <c r="BV5726" i="2"/>
  <c r="BV5727" i="2"/>
  <c r="BV5728" i="2"/>
  <c r="BV5729" i="2"/>
  <c r="BV5730" i="2"/>
  <c r="BV5731" i="2"/>
  <c r="BV5732" i="2"/>
  <c r="BV5733" i="2"/>
  <c r="BV5734" i="2"/>
  <c r="BV5735" i="2"/>
  <c r="BV5736" i="2"/>
  <c r="BV5737" i="2"/>
  <c r="BV5738" i="2"/>
  <c r="BV5739" i="2"/>
  <c r="BV5740" i="2"/>
  <c r="BV5741" i="2"/>
  <c r="BV5742" i="2"/>
  <c r="BV5743" i="2"/>
  <c r="BV5744" i="2"/>
  <c r="BV5745" i="2"/>
  <c r="BV5746" i="2"/>
  <c r="BV5747" i="2"/>
  <c r="BV5748" i="2"/>
  <c r="BV5749" i="2"/>
  <c r="BV5750" i="2"/>
  <c r="BV5751" i="2"/>
  <c r="BV5752" i="2"/>
  <c r="BV5753" i="2"/>
  <c r="BV5754" i="2"/>
  <c r="BV5755" i="2"/>
  <c r="BV5756" i="2"/>
  <c r="BV5757" i="2"/>
  <c r="BV5758" i="2"/>
  <c r="BV5759" i="2"/>
  <c r="BV5760" i="2"/>
  <c r="BV5761" i="2"/>
  <c r="BV5762" i="2"/>
  <c r="BV5763" i="2"/>
  <c r="BV5764" i="2"/>
  <c r="BV5765" i="2"/>
  <c r="BV5766" i="2"/>
  <c r="BV5767" i="2"/>
  <c r="BV5768" i="2"/>
  <c r="BV5769" i="2"/>
  <c r="BV5770" i="2"/>
  <c r="BV5771" i="2"/>
  <c r="BV5772" i="2"/>
  <c r="BV5773" i="2"/>
  <c r="BV5774" i="2"/>
  <c r="BV5775" i="2"/>
  <c r="BV5776" i="2"/>
  <c r="BV5777" i="2"/>
  <c r="BV5778" i="2"/>
  <c r="BV5779" i="2"/>
  <c r="BV5780" i="2"/>
  <c r="BV5781" i="2"/>
  <c r="BV5782" i="2"/>
  <c r="BV5783" i="2"/>
  <c r="BV5784" i="2"/>
  <c r="BV5785" i="2"/>
  <c r="BV5786" i="2"/>
  <c r="BV5787" i="2"/>
  <c r="BV5788" i="2"/>
  <c r="BV5789" i="2"/>
  <c r="BV5790" i="2"/>
  <c r="BV5791" i="2"/>
  <c r="BV5792" i="2"/>
  <c r="BV5793" i="2"/>
  <c r="BV5794" i="2"/>
  <c r="BV5795" i="2"/>
  <c r="BV5796" i="2"/>
  <c r="BV5797" i="2"/>
  <c r="BV5798" i="2"/>
  <c r="BV5799" i="2"/>
  <c r="BV5800" i="2"/>
  <c r="BV5801" i="2"/>
  <c r="BV5802" i="2"/>
  <c r="BV5803" i="2"/>
  <c r="BV5804" i="2"/>
  <c r="BV5805" i="2"/>
  <c r="BV5806" i="2"/>
  <c r="BV5807" i="2"/>
  <c r="BV5808" i="2"/>
  <c r="BV5809" i="2"/>
  <c r="BV5810" i="2"/>
  <c r="BV5811" i="2"/>
  <c r="BV5812" i="2"/>
  <c r="BV5813" i="2"/>
  <c r="BV5814" i="2"/>
  <c r="BV5815" i="2"/>
  <c r="BV5816" i="2"/>
  <c r="BV5817" i="2"/>
  <c r="BV5818" i="2"/>
  <c r="BV5819" i="2"/>
  <c r="BV5820" i="2"/>
  <c r="BV5821" i="2"/>
  <c r="BV5822" i="2"/>
  <c r="BV5823" i="2"/>
  <c r="BV5824" i="2"/>
  <c r="BV5825" i="2"/>
  <c r="BV5826" i="2"/>
  <c r="BV5827" i="2"/>
  <c r="BV5828" i="2"/>
  <c r="BV5829" i="2"/>
  <c r="BV5830" i="2"/>
  <c r="BV5831" i="2"/>
  <c r="BV5832" i="2"/>
  <c r="BV5833" i="2"/>
  <c r="BV5834" i="2"/>
  <c r="BV5835" i="2"/>
  <c r="BV5836" i="2"/>
  <c r="BV5837" i="2"/>
  <c r="BV5838" i="2"/>
  <c r="BV5839" i="2"/>
  <c r="BV5840" i="2"/>
  <c r="BV5841" i="2"/>
  <c r="BV5842" i="2"/>
  <c r="BV5843" i="2"/>
  <c r="BV5844" i="2"/>
  <c r="BV5845" i="2"/>
  <c r="BV5846" i="2"/>
  <c r="BV5847" i="2"/>
  <c r="BV5848" i="2"/>
  <c r="BV5849" i="2"/>
  <c r="BV5850" i="2"/>
  <c r="BV5851" i="2"/>
  <c r="BV5852" i="2"/>
  <c r="BV5853" i="2"/>
  <c r="BV5854" i="2"/>
  <c r="BV5855" i="2"/>
  <c r="BV5856" i="2"/>
  <c r="BV5857" i="2"/>
  <c r="BV5858" i="2"/>
  <c r="BV5859" i="2"/>
  <c r="BV5860" i="2"/>
  <c r="BV5861" i="2"/>
  <c r="BV5862" i="2"/>
  <c r="BV5863" i="2"/>
  <c r="BV5864" i="2"/>
  <c r="BV5865" i="2"/>
  <c r="BV5866" i="2"/>
  <c r="BV5867" i="2"/>
  <c r="BV5868" i="2"/>
  <c r="BV5869" i="2"/>
  <c r="BV5870" i="2"/>
  <c r="BV5871" i="2"/>
  <c r="BV5872" i="2"/>
  <c r="BV5873" i="2"/>
  <c r="BV5874" i="2"/>
  <c r="BV5875" i="2"/>
  <c r="BV5876" i="2"/>
  <c r="BV5877" i="2"/>
  <c r="BV5878" i="2"/>
  <c r="BV5879" i="2"/>
  <c r="BV5880" i="2"/>
  <c r="BV5881" i="2"/>
  <c r="BV5882" i="2"/>
  <c r="BV5883" i="2"/>
  <c r="BV5884" i="2"/>
  <c r="BV5885" i="2"/>
  <c r="BV5886" i="2"/>
  <c r="BV5887" i="2"/>
  <c r="BV5888" i="2"/>
  <c r="BV5889" i="2"/>
  <c r="BV5890" i="2"/>
  <c r="BV5891" i="2"/>
  <c r="BV5892" i="2"/>
  <c r="BV5893" i="2"/>
  <c r="BV5894" i="2"/>
  <c r="BV5895" i="2"/>
  <c r="BV5896" i="2"/>
  <c r="BV5897" i="2"/>
  <c r="BV5898" i="2"/>
  <c r="BV5899" i="2"/>
  <c r="BV5900" i="2"/>
  <c r="BV5901" i="2"/>
  <c r="BV5902" i="2"/>
  <c r="BV5903" i="2"/>
  <c r="BV5904" i="2"/>
  <c r="BV5905" i="2"/>
  <c r="BV5906" i="2"/>
  <c r="BV5907" i="2"/>
  <c r="BV5908" i="2"/>
  <c r="BV5909" i="2"/>
  <c r="BV5910" i="2"/>
  <c r="BV5911" i="2"/>
  <c r="BV5912" i="2"/>
  <c r="BV5913" i="2"/>
  <c r="BV5914" i="2"/>
  <c r="BV5915" i="2"/>
  <c r="BV5916" i="2"/>
  <c r="BV5917" i="2"/>
  <c r="BV5918" i="2"/>
  <c r="BV5919" i="2"/>
  <c r="BV5920" i="2"/>
  <c r="BV5921" i="2"/>
  <c r="BV5922" i="2"/>
  <c r="BV5923" i="2"/>
  <c r="BV5924" i="2"/>
  <c r="BV5925" i="2"/>
  <c r="BV5926" i="2"/>
  <c r="BV5927" i="2"/>
  <c r="BV5928" i="2"/>
  <c r="BV5929" i="2"/>
  <c r="BV5930" i="2"/>
  <c r="BV5931" i="2"/>
  <c r="BV5932" i="2"/>
  <c r="BV5933" i="2"/>
  <c r="BV5934" i="2"/>
  <c r="BV5935" i="2"/>
  <c r="BV5936" i="2"/>
  <c r="BV5937" i="2"/>
  <c r="BV5938" i="2"/>
  <c r="BV5939" i="2"/>
  <c r="BV5940" i="2"/>
  <c r="BV5941" i="2"/>
  <c r="BV5942" i="2"/>
  <c r="BV5943" i="2"/>
  <c r="BV5944" i="2"/>
  <c r="BV5945" i="2"/>
  <c r="BV5946" i="2"/>
  <c r="BV5947" i="2"/>
  <c r="BV5948" i="2"/>
  <c r="BV5949" i="2"/>
  <c r="BV5950" i="2"/>
  <c r="BV5951" i="2"/>
  <c r="BV5952" i="2"/>
  <c r="BV5953" i="2"/>
  <c r="BV5954" i="2"/>
  <c r="BV5955" i="2"/>
  <c r="BV5956" i="2"/>
  <c r="BV5957" i="2"/>
  <c r="BV5958" i="2"/>
  <c r="BV5959" i="2"/>
  <c r="BV5960" i="2"/>
  <c r="BV5961" i="2"/>
  <c r="BV5962" i="2"/>
  <c r="BV5963" i="2"/>
  <c r="BV5964" i="2"/>
  <c r="BV5965" i="2"/>
  <c r="BV5966" i="2"/>
  <c r="BV5967" i="2"/>
  <c r="BV5968" i="2"/>
  <c r="BV5969" i="2"/>
  <c r="BV5970" i="2"/>
  <c r="BV5971" i="2"/>
  <c r="BV5972" i="2"/>
  <c r="BV5973" i="2"/>
  <c r="BV5974" i="2"/>
  <c r="BV5975" i="2"/>
  <c r="BV5976" i="2"/>
  <c r="BV5977" i="2"/>
  <c r="BV5978" i="2"/>
  <c r="BV5979" i="2"/>
  <c r="BV5980" i="2"/>
  <c r="BV5981" i="2"/>
  <c r="BV5982" i="2"/>
  <c r="BV5983" i="2"/>
  <c r="BV5984" i="2"/>
  <c r="BV5985" i="2"/>
  <c r="BV5986" i="2"/>
  <c r="BV5987" i="2"/>
  <c r="BV5988" i="2"/>
  <c r="BV5989" i="2"/>
  <c r="BV5990" i="2"/>
  <c r="BV5991" i="2"/>
  <c r="BV5992" i="2"/>
  <c r="BV5993" i="2"/>
  <c r="BV5994" i="2"/>
  <c r="BV5995" i="2"/>
  <c r="BV5996" i="2"/>
  <c r="BV5997" i="2"/>
  <c r="BV5998" i="2"/>
  <c r="BV5999" i="2"/>
  <c r="BV6000" i="2"/>
  <c r="BV6001" i="2"/>
  <c r="BV6002" i="2"/>
  <c r="BV6003" i="2"/>
  <c r="BV6004" i="2"/>
  <c r="BV6005" i="2"/>
  <c r="BV6006" i="2"/>
  <c r="BV6007" i="2"/>
  <c r="BV6008" i="2"/>
  <c r="BV6009" i="2"/>
  <c r="BV6010" i="2"/>
  <c r="BV6011" i="2"/>
  <c r="BV6012" i="2"/>
  <c r="BV6013" i="2"/>
  <c r="BV6014" i="2"/>
  <c r="BV6015" i="2"/>
  <c r="BV6016" i="2"/>
  <c r="BV6017" i="2"/>
  <c r="BV6018" i="2"/>
  <c r="BV6019" i="2"/>
  <c r="BV6020" i="2"/>
  <c r="BV6021" i="2"/>
  <c r="BV6022" i="2"/>
  <c r="BV6023" i="2"/>
  <c r="BV6024" i="2"/>
  <c r="BV6025" i="2"/>
  <c r="BV6026" i="2"/>
  <c r="BV6027" i="2"/>
  <c r="BV6028" i="2"/>
  <c r="BV6029" i="2"/>
  <c r="BV6030" i="2"/>
  <c r="BV6031" i="2"/>
  <c r="BV6032" i="2"/>
  <c r="BV6033" i="2"/>
  <c r="BV6034" i="2"/>
  <c r="BV6035" i="2"/>
  <c r="BV6036" i="2"/>
  <c r="BV6037" i="2"/>
  <c r="BV6038" i="2"/>
  <c r="BV6039" i="2"/>
  <c r="BV6040" i="2"/>
  <c r="BV6041" i="2"/>
  <c r="BV6042" i="2"/>
  <c r="BV6043" i="2"/>
  <c r="BV6044" i="2"/>
  <c r="BV6045" i="2"/>
  <c r="BV6046" i="2"/>
  <c r="BV6047" i="2"/>
  <c r="BV6048" i="2"/>
  <c r="BV6049" i="2"/>
  <c r="BV6050" i="2"/>
  <c r="BV6051" i="2"/>
  <c r="BV6052" i="2"/>
  <c r="BV6053" i="2"/>
  <c r="BV6054" i="2"/>
  <c r="BV6055" i="2"/>
  <c r="BV6056" i="2"/>
  <c r="BV6057" i="2"/>
  <c r="BV6058" i="2"/>
  <c r="BV6059" i="2"/>
  <c r="BV6060" i="2"/>
  <c r="BV6061" i="2"/>
  <c r="BV6062" i="2"/>
  <c r="BV6063" i="2"/>
  <c r="BV6064" i="2"/>
  <c r="BV6065" i="2"/>
  <c r="BV6066" i="2"/>
  <c r="BV6067" i="2"/>
  <c r="BV6068" i="2"/>
  <c r="BV6069" i="2"/>
  <c r="BV6070" i="2"/>
  <c r="BV6071" i="2"/>
  <c r="BV6072" i="2"/>
  <c r="BV6073" i="2"/>
  <c r="BV6074" i="2"/>
  <c r="BV6075" i="2"/>
  <c r="BV6076" i="2"/>
  <c r="BV6077" i="2"/>
  <c r="BV6078" i="2"/>
  <c r="BV6079" i="2"/>
  <c r="BV6080" i="2"/>
  <c r="BV6081" i="2"/>
  <c r="BV6082" i="2"/>
  <c r="BV6083" i="2"/>
  <c r="BV6084" i="2"/>
  <c r="BV6085" i="2"/>
  <c r="BV6086" i="2"/>
  <c r="BV6087" i="2"/>
  <c r="BV6088" i="2"/>
  <c r="BV6089" i="2"/>
  <c r="BV6090" i="2"/>
  <c r="BV6091" i="2"/>
  <c r="BV6092" i="2"/>
  <c r="BV6093" i="2"/>
  <c r="BV6094" i="2"/>
  <c r="BV6095" i="2"/>
  <c r="BV6096" i="2"/>
  <c r="BV6097" i="2"/>
  <c r="BV6098" i="2"/>
  <c r="BV6099" i="2"/>
  <c r="BV6100" i="2"/>
  <c r="BV6101" i="2"/>
  <c r="BV6102" i="2"/>
  <c r="BV6103" i="2"/>
  <c r="BV6104" i="2"/>
  <c r="BV6105" i="2"/>
  <c r="BV6106" i="2"/>
  <c r="BV6107" i="2"/>
  <c r="BV6108" i="2"/>
  <c r="BV6109" i="2"/>
  <c r="BV6110" i="2"/>
  <c r="BV6111" i="2"/>
  <c r="BV6112" i="2"/>
  <c r="BV6113" i="2"/>
  <c r="BV6114" i="2"/>
  <c r="BV6115" i="2"/>
  <c r="BV6116" i="2"/>
  <c r="BV6117" i="2"/>
  <c r="BV6118" i="2"/>
  <c r="BV6119" i="2"/>
  <c r="BV6120" i="2"/>
  <c r="BV6121" i="2"/>
  <c r="BV6122" i="2"/>
  <c r="BV6123" i="2"/>
  <c r="BV6124" i="2"/>
  <c r="BV6125" i="2"/>
  <c r="BV6126" i="2"/>
  <c r="BV6127" i="2"/>
  <c r="BV6128" i="2"/>
  <c r="BV6129" i="2"/>
  <c r="BV6130" i="2"/>
  <c r="BV6131" i="2"/>
  <c r="BV6132" i="2"/>
  <c r="BV6133" i="2"/>
  <c r="BV6134" i="2"/>
  <c r="BV6135" i="2"/>
  <c r="BV6136" i="2"/>
  <c r="BV6137" i="2"/>
  <c r="BV6138" i="2"/>
  <c r="BV6139" i="2"/>
  <c r="BV6140" i="2"/>
  <c r="BV6141" i="2"/>
  <c r="BV6142" i="2"/>
  <c r="BV6143" i="2"/>
  <c r="BV6144" i="2"/>
  <c r="BV6145" i="2"/>
  <c r="BV6146" i="2"/>
  <c r="BV6147" i="2"/>
  <c r="BV6148" i="2"/>
  <c r="BV6149" i="2"/>
  <c r="BV6150" i="2"/>
  <c r="BV6151" i="2"/>
  <c r="BV6152" i="2"/>
  <c r="BV6153" i="2"/>
  <c r="BV6154" i="2"/>
  <c r="BV6155" i="2"/>
  <c r="BV6156" i="2"/>
  <c r="BV6157" i="2"/>
  <c r="BV6158" i="2"/>
  <c r="BV6159" i="2"/>
  <c r="BV6160" i="2"/>
  <c r="BV6161" i="2"/>
  <c r="BV6162" i="2"/>
  <c r="BV6163" i="2"/>
  <c r="BV6164" i="2"/>
  <c r="BV6165" i="2"/>
  <c r="BV6166" i="2"/>
  <c r="BV6167" i="2"/>
  <c r="BV6168" i="2"/>
  <c r="BV6169" i="2"/>
  <c r="BV6170" i="2"/>
  <c r="BV6171" i="2"/>
  <c r="BV6172" i="2"/>
  <c r="BV6173" i="2"/>
  <c r="BV6174" i="2"/>
  <c r="BV6175" i="2"/>
  <c r="BV6176" i="2"/>
  <c r="BV6177" i="2"/>
  <c r="BV6178" i="2"/>
  <c r="BV6179" i="2"/>
  <c r="BV6180" i="2"/>
  <c r="BV6181" i="2"/>
  <c r="BV6182" i="2"/>
  <c r="BV6183" i="2"/>
  <c r="BV6184" i="2"/>
  <c r="BV6185" i="2"/>
  <c r="BV6186" i="2"/>
  <c r="BV6187" i="2"/>
  <c r="BV6188" i="2"/>
  <c r="BV6189" i="2"/>
  <c r="BV6190" i="2"/>
  <c r="BV6191" i="2"/>
  <c r="BV6192" i="2"/>
  <c r="BV6193" i="2"/>
  <c r="BV6194" i="2"/>
  <c r="BV6195" i="2"/>
  <c r="BV6196" i="2"/>
  <c r="BV6197" i="2"/>
  <c r="BV6198" i="2"/>
  <c r="BV6199" i="2"/>
  <c r="BV6200" i="2"/>
  <c r="BV6201" i="2"/>
  <c r="BV6202" i="2"/>
  <c r="BV6203" i="2"/>
  <c r="BV6204" i="2"/>
  <c r="BV6205" i="2"/>
  <c r="BV6206" i="2"/>
  <c r="BV6207" i="2"/>
  <c r="BV6208" i="2"/>
  <c r="BV6209" i="2"/>
  <c r="BV6210" i="2"/>
  <c r="BV6211" i="2"/>
  <c r="BV6212" i="2"/>
  <c r="BV6213" i="2"/>
  <c r="BV6214" i="2"/>
  <c r="BV6215" i="2"/>
  <c r="BV6216" i="2"/>
  <c r="BV6217" i="2"/>
  <c r="BV6218" i="2"/>
  <c r="BV6219" i="2"/>
  <c r="BV6220" i="2"/>
  <c r="BV6221" i="2"/>
  <c r="BV6222" i="2"/>
  <c r="BV6223" i="2"/>
  <c r="BV6224" i="2"/>
  <c r="BV6225" i="2"/>
  <c r="BV6226" i="2"/>
  <c r="BV6227" i="2"/>
  <c r="BV6228" i="2"/>
  <c r="BV6229" i="2"/>
  <c r="BV6230" i="2"/>
  <c r="BV6231" i="2"/>
  <c r="BV6232" i="2"/>
  <c r="BV6233" i="2"/>
  <c r="BV6234" i="2"/>
  <c r="BV6235" i="2"/>
  <c r="BV6236" i="2"/>
  <c r="BV6237" i="2"/>
  <c r="BV6238" i="2"/>
  <c r="BV6239" i="2"/>
  <c r="BV6240" i="2"/>
  <c r="BV6241" i="2"/>
  <c r="BV6242" i="2"/>
  <c r="BV6243" i="2"/>
  <c r="BV6244" i="2"/>
  <c r="BV6245" i="2"/>
  <c r="BV6246" i="2"/>
  <c r="BV6247" i="2"/>
  <c r="BV6248" i="2"/>
  <c r="BV6249" i="2"/>
  <c r="BV6250" i="2"/>
  <c r="BV6251" i="2"/>
  <c r="BV6252" i="2"/>
  <c r="BV6253" i="2"/>
  <c r="BV6254" i="2"/>
  <c r="BV6255" i="2"/>
  <c r="BV6256" i="2"/>
  <c r="BV6257" i="2"/>
  <c r="BV6258" i="2"/>
  <c r="BV6259" i="2"/>
  <c r="BV6260" i="2"/>
  <c r="BV6261" i="2"/>
  <c r="BV6262" i="2"/>
  <c r="BV6263" i="2"/>
  <c r="BV6264" i="2"/>
  <c r="BV6265" i="2"/>
  <c r="BV6266" i="2"/>
  <c r="BV6267" i="2"/>
  <c r="BV6268" i="2"/>
  <c r="BV6269" i="2"/>
  <c r="BV6270" i="2"/>
  <c r="BV6271" i="2"/>
  <c r="BV6272" i="2"/>
  <c r="BV6273" i="2"/>
  <c r="BV6274" i="2"/>
  <c r="BV6275" i="2"/>
  <c r="BV6276" i="2"/>
  <c r="BV6277" i="2"/>
  <c r="BV6278" i="2"/>
  <c r="BV6279" i="2"/>
  <c r="BV6280" i="2"/>
  <c r="BV6281" i="2"/>
  <c r="BV6282" i="2"/>
  <c r="BV6283" i="2"/>
  <c r="BV6284" i="2"/>
  <c r="BV6285" i="2"/>
  <c r="BV6286" i="2"/>
  <c r="BV6287" i="2"/>
  <c r="BV6288" i="2"/>
  <c r="BV6289" i="2"/>
  <c r="BV6290" i="2"/>
  <c r="BV6291" i="2"/>
  <c r="BV6292" i="2"/>
  <c r="BV6293" i="2"/>
  <c r="BV6294" i="2"/>
  <c r="BV6295" i="2"/>
  <c r="BV6296" i="2"/>
  <c r="BV6297" i="2"/>
  <c r="BV6298" i="2"/>
  <c r="BV6299" i="2"/>
  <c r="BV6300" i="2"/>
  <c r="BV6301" i="2"/>
  <c r="BV6302" i="2"/>
  <c r="BV6303" i="2"/>
  <c r="BV6304" i="2"/>
  <c r="BV6305" i="2"/>
  <c r="BV6306" i="2"/>
  <c r="BV6307" i="2"/>
  <c r="BV6308" i="2"/>
  <c r="BV6309" i="2"/>
  <c r="BV6310" i="2"/>
  <c r="BV6311" i="2"/>
  <c r="BV6312" i="2"/>
  <c r="BV6313" i="2"/>
  <c r="BV6314" i="2"/>
  <c r="BV6315" i="2"/>
  <c r="BV6316" i="2"/>
  <c r="BV6317" i="2"/>
  <c r="BV6318" i="2"/>
  <c r="BV6319" i="2"/>
  <c r="BV6320" i="2"/>
  <c r="BV6321" i="2"/>
  <c r="BV6322" i="2"/>
  <c r="BV6323" i="2"/>
  <c r="BV6324" i="2"/>
  <c r="BV6325" i="2"/>
  <c r="BV6326" i="2"/>
  <c r="BV6327" i="2"/>
  <c r="BV6328" i="2"/>
  <c r="BV6329" i="2"/>
  <c r="BV6330" i="2"/>
  <c r="BV6331" i="2"/>
  <c r="BV6332" i="2"/>
  <c r="BV6333" i="2"/>
  <c r="BV6334" i="2"/>
  <c r="BV6335" i="2"/>
  <c r="BV6336" i="2"/>
  <c r="BV6337" i="2"/>
  <c r="BV6338" i="2"/>
  <c r="BV6339" i="2"/>
  <c r="BV6340" i="2"/>
  <c r="BV6341" i="2"/>
  <c r="BV6342" i="2"/>
  <c r="BV6343" i="2"/>
  <c r="BV6344" i="2"/>
  <c r="BV6345" i="2"/>
  <c r="BV6346" i="2"/>
  <c r="BV6347" i="2"/>
  <c r="BV6348" i="2"/>
  <c r="BV6349" i="2"/>
  <c r="BV6350" i="2"/>
  <c r="BV6351" i="2"/>
  <c r="BV6352" i="2"/>
  <c r="BV6353" i="2"/>
  <c r="BV6354" i="2"/>
  <c r="BV6355" i="2"/>
  <c r="BV6356" i="2"/>
  <c r="BV6357" i="2"/>
  <c r="BV6358" i="2"/>
  <c r="BV6359" i="2"/>
  <c r="BV6360" i="2"/>
  <c r="BV6361" i="2"/>
  <c r="BV6362" i="2"/>
  <c r="BV6363" i="2"/>
  <c r="BV6364" i="2"/>
  <c r="BV6365" i="2"/>
  <c r="BV6366" i="2"/>
  <c r="BV6367" i="2"/>
  <c r="BV6368" i="2"/>
  <c r="BV6369" i="2"/>
  <c r="BV6370" i="2"/>
  <c r="BV6371" i="2"/>
  <c r="BV6372" i="2"/>
  <c r="BV6373" i="2"/>
  <c r="BV6374" i="2"/>
  <c r="BV6375" i="2"/>
  <c r="BV6376" i="2"/>
  <c r="BV6377" i="2"/>
  <c r="BV6378" i="2"/>
  <c r="BV6379" i="2"/>
  <c r="BV6380" i="2"/>
  <c r="BV6381" i="2"/>
  <c r="BV6382" i="2"/>
  <c r="BV6383" i="2"/>
  <c r="BV6384" i="2"/>
  <c r="BV6385" i="2"/>
  <c r="BV6386" i="2"/>
  <c r="BV6387" i="2"/>
  <c r="BV6388" i="2"/>
  <c r="BV6389" i="2"/>
  <c r="BV6390" i="2"/>
  <c r="BV6391" i="2"/>
  <c r="BV6392" i="2"/>
  <c r="BV6393" i="2"/>
  <c r="BV6394" i="2"/>
  <c r="BV6395" i="2"/>
  <c r="BV6396" i="2"/>
  <c r="BV6397" i="2"/>
  <c r="BV6398" i="2"/>
  <c r="BV6399" i="2"/>
  <c r="BV6400" i="2"/>
  <c r="BV6401" i="2"/>
  <c r="BV6402" i="2"/>
  <c r="BV6403" i="2"/>
  <c r="BV6404" i="2"/>
  <c r="BV6405" i="2"/>
  <c r="BV6406" i="2"/>
  <c r="BV6407" i="2"/>
  <c r="BV6408" i="2"/>
  <c r="BV6409" i="2"/>
  <c r="BV6410" i="2"/>
  <c r="BV6411" i="2"/>
  <c r="BV6412" i="2"/>
  <c r="BV6413" i="2"/>
  <c r="BV6414" i="2"/>
  <c r="BV6415" i="2"/>
  <c r="BV6416" i="2"/>
  <c r="BV6417" i="2"/>
  <c r="BV6418" i="2"/>
  <c r="BV6419" i="2"/>
  <c r="BV6420" i="2"/>
  <c r="BV6421" i="2"/>
  <c r="BV6422" i="2"/>
  <c r="BV6423" i="2"/>
  <c r="BV6424" i="2"/>
  <c r="BV6425" i="2"/>
  <c r="BV6426" i="2"/>
  <c r="BV6427" i="2"/>
  <c r="BV6428" i="2"/>
  <c r="BV6429" i="2"/>
  <c r="BV6430" i="2"/>
  <c r="BV6431" i="2"/>
  <c r="BV6432" i="2"/>
  <c r="BV6433" i="2"/>
  <c r="BV6434" i="2"/>
  <c r="BV6435" i="2"/>
  <c r="BV6436" i="2"/>
  <c r="BV6437" i="2"/>
  <c r="BV6438" i="2"/>
  <c r="BV6439" i="2"/>
  <c r="BV6440" i="2"/>
  <c r="BV6441" i="2"/>
  <c r="BV6442" i="2"/>
  <c r="BV6443" i="2"/>
  <c r="BV6444" i="2"/>
  <c r="BV6445" i="2"/>
  <c r="BV6446" i="2"/>
  <c r="BV6447" i="2"/>
  <c r="BV6448" i="2"/>
  <c r="BV6449" i="2"/>
  <c r="BV6450" i="2"/>
  <c r="BV6451" i="2"/>
  <c r="BV6452" i="2"/>
  <c r="BV6453" i="2"/>
  <c r="BV6454" i="2"/>
  <c r="BV6455" i="2"/>
  <c r="BV6456" i="2"/>
  <c r="BV6457" i="2"/>
  <c r="BV6458" i="2"/>
  <c r="BV6459" i="2"/>
  <c r="BV6460" i="2"/>
  <c r="BV6461" i="2"/>
  <c r="BV6462" i="2"/>
  <c r="BV6463" i="2"/>
  <c r="BV6464" i="2"/>
  <c r="BV6465" i="2"/>
  <c r="BV6466" i="2"/>
  <c r="BV6467" i="2"/>
  <c r="BV6468" i="2"/>
  <c r="BV6469" i="2"/>
  <c r="BV6470" i="2"/>
  <c r="BV6471" i="2"/>
  <c r="BV6472" i="2"/>
  <c r="BV6473" i="2"/>
  <c r="BV6474" i="2"/>
  <c r="BV6475" i="2"/>
  <c r="BV6476" i="2"/>
  <c r="BV6477" i="2"/>
  <c r="BV6478" i="2"/>
  <c r="BV6479" i="2"/>
  <c r="BV6480" i="2"/>
  <c r="BV6481" i="2"/>
  <c r="BV6482" i="2"/>
  <c r="BV6483" i="2"/>
  <c r="BV6484" i="2"/>
  <c r="BV6485" i="2"/>
  <c r="BV6486" i="2"/>
  <c r="BV6487" i="2"/>
  <c r="BV6488" i="2"/>
  <c r="BV6489" i="2"/>
  <c r="BV6490" i="2"/>
  <c r="BV6491" i="2"/>
  <c r="BV6492" i="2"/>
  <c r="BV6493" i="2"/>
  <c r="BV6494" i="2"/>
  <c r="BV6495" i="2"/>
  <c r="BV6496" i="2"/>
  <c r="BV6497" i="2"/>
  <c r="BV6498" i="2"/>
  <c r="BV6499" i="2"/>
  <c r="BV6500" i="2"/>
  <c r="BV6501" i="2"/>
  <c r="BV6502" i="2"/>
  <c r="BV6503" i="2"/>
  <c r="BV6504" i="2"/>
  <c r="BV6505" i="2"/>
  <c r="BV6506" i="2"/>
  <c r="BV6507" i="2"/>
  <c r="BV6508" i="2"/>
  <c r="BV6509" i="2"/>
  <c r="BV6510" i="2"/>
  <c r="BV6511" i="2"/>
  <c r="BV6512" i="2"/>
  <c r="BV6513" i="2"/>
  <c r="BV6514" i="2"/>
  <c r="BV6515" i="2"/>
  <c r="BV6516" i="2"/>
  <c r="BV6517" i="2"/>
  <c r="BV6518" i="2"/>
  <c r="BV6519" i="2"/>
  <c r="BV6520" i="2"/>
  <c r="BV6521" i="2"/>
  <c r="BV6522" i="2"/>
  <c r="BV6523" i="2"/>
  <c r="BV6524" i="2"/>
  <c r="BV6525" i="2"/>
  <c r="BV6526" i="2"/>
  <c r="BV6527" i="2"/>
  <c r="BV6528" i="2"/>
  <c r="BV6529" i="2"/>
  <c r="BV6530" i="2"/>
  <c r="BV6531" i="2"/>
  <c r="BV6532" i="2"/>
  <c r="BV6533" i="2"/>
  <c r="BV6534" i="2"/>
  <c r="BV6535" i="2"/>
  <c r="BV6536" i="2"/>
  <c r="BV6537" i="2"/>
  <c r="BV6538" i="2"/>
  <c r="BV6539" i="2"/>
  <c r="BV6540" i="2"/>
  <c r="BV6541" i="2"/>
  <c r="BV6542" i="2"/>
  <c r="BV6543" i="2"/>
  <c r="BV6544" i="2"/>
  <c r="BV6545" i="2"/>
  <c r="BV6546" i="2"/>
  <c r="BV6547" i="2"/>
  <c r="BV6548" i="2"/>
  <c r="BV6549" i="2"/>
  <c r="BV6550" i="2"/>
  <c r="BV6551" i="2"/>
  <c r="BV6552" i="2"/>
  <c r="BV6553" i="2"/>
  <c r="BV6554" i="2"/>
  <c r="BV6555" i="2"/>
  <c r="BV6556" i="2"/>
  <c r="BV6557" i="2"/>
  <c r="BV6558" i="2"/>
  <c r="BV6559" i="2"/>
  <c r="BV6560" i="2"/>
  <c r="BV6561" i="2"/>
  <c r="BV6562" i="2"/>
  <c r="BV6563" i="2"/>
  <c r="BV6564" i="2"/>
  <c r="BV6565" i="2"/>
  <c r="BV6566" i="2"/>
  <c r="BV6567" i="2"/>
  <c r="BV6568" i="2"/>
  <c r="BV6569" i="2"/>
  <c r="BV6570" i="2"/>
  <c r="BV6571" i="2"/>
  <c r="BV6572" i="2"/>
  <c r="BV6573" i="2"/>
  <c r="BV6574" i="2"/>
  <c r="BV6575" i="2"/>
  <c r="BV6576" i="2"/>
  <c r="BV6577" i="2"/>
  <c r="BV6578" i="2"/>
  <c r="BV6579" i="2"/>
  <c r="BV6580" i="2"/>
  <c r="BV6581" i="2"/>
  <c r="BV6582" i="2"/>
  <c r="BV6583" i="2"/>
  <c r="BV6584" i="2"/>
  <c r="BV6585" i="2"/>
  <c r="BV6586" i="2"/>
  <c r="BV6587" i="2"/>
  <c r="BV6588" i="2"/>
  <c r="BV6589" i="2"/>
  <c r="BV6590" i="2"/>
  <c r="BV6591" i="2"/>
  <c r="BV6592" i="2"/>
  <c r="BV6593" i="2"/>
  <c r="BV6594" i="2"/>
  <c r="BV6595" i="2"/>
  <c r="BV6596" i="2"/>
  <c r="BV6597" i="2"/>
  <c r="BV6598" i="2"/>
  <c r="BV6599" i="2"/>
  <c r="BV6600" i="2"/>
  <c r="BV6601" i="2"/>
  <c r="BV6602" i="2"/>
  <c r="BV6603" i="2"/>
  <c r="BV6604" i="2"/>
  <c r="BV6605" i="2"/>
  <c r="BV6606" i="2"/>
  <c r="BV6607" i="2"/>
  <c r="BV6608" i="2"/>
  <c r="BV6609" i="2"/>
  <c r="BV6610" i="2"/>
  <c r="BV6611" i="2"/>
  <c r="BV6612" i="2"/>
  <c r="BV6613" i="2"/>
  <c r="BV6614" i="2"/>
  <c r="BV6615" i="2"/>
  <c r="BV6616" i="2"/>
  <c r="BV6617" i="2"/>
  <c r="BV6618" i="2"/>
  <c r="BV6619" i="2"/>
  <c r="BV6620" i="2"/>
  <c r="BV6621" i="2"/>
  <c r="BV6622" i="2"/>
  <c r="BV6623" i="2"/>
  <c r="BV6624" i="2"/>
  <c r="BV6625" i="2"/>
  <c r="BV6626" i="2"/>
  <c r="BV6627" i="2"/>
  <c r="BV6628" i="2"/>
  <c r="BV6629" i="2"/>
  <c r="BV6630" i="2"/>
  <c r="BV6631" i="2"/>
  <c r="BV6632" i="2"/>
  <c r="BV6633" i="2"/>
  <c r="BV6634" i="2"/>
  <c r="BV6635" i="2"/>
  <c r="BV6636" i="2"/>
  <c r="BV6637" i="2"/>
  <c r="BV6638" i="2"/>
  <c r="BV6639" i="2"/>
  <c r="BV6640" i="2"/>
  <c r="BV6641" i="2"/>
  <c r="BV6642" i="2"/>
  <c r="BV6643" i="2"/>
  <c r="BV6644" i="2"/>
  <c r="BV6645" i="2"/>
  <c r="BV6646" i="2"/>
  <c r="BV6647" i="2"/>
  <c r="BV6648" i="2"/>
  <c r="BV6649" i="2"/>
  <c r="BV6650" i="2"/>
  <c r="BV6651" i="2"/>
  <c r="BV6652" i="2"/>
  <c r="BV6653" i="2"/>
  <c r="BV6654" i="2"/>
  <c r="BV6655" i="2"/>
  <c r="BV6656" i="2"/>
  <c r="BV6657" i="2"/>
  <c r="BV6658" i="2"/>
  <c r="BV6659" i="2"/>
  <c r="BV6660" i="2"/>
  <c r="BV6661" i="2"/>
  <c r="BV6662" i="2"/>
  <c r="BV6663" i="2"/>
  <c r="BV6664" i="2"/>
  <c r="BV6665" i="2"/>
  <c r="BV6666" i="2"/>
  <c r="BV6667" i="2"/>
  <c r="BV6668" i="2"/>
  <c r="BV6669" i="2"/>
  <c r="BV6670" i="2"/>
  <c r="BV6671" i="2"/>
  <c r="BV6672" i="2"/>
  <c r="BV6673" i="2"/>
  <c r="BV6674" i="2"/>
  <c r="BV6675" i="2"/>
  <c r="BV6676" i="2"/>
  <c r="BV6677" i="2"/>
  <c r="BV6678" i="2"/>
  <c r="BV6679" i="2"/>
  <c r="BV6680" i="2"/>
  <c r="BV6681" i="2"/>
  <c r="BV6682" i="2"/>
  <c r="BV6683" i="2"/>
  <c r="BV6684" i="2"/>
  <c r="BV6685" i="2"/>
  <c r="BV6686" i="2"/>
  <c r="BV6687" i="2"/>
  <c r="BV6688" i="2"/>
  <c r="BV6689" i="2"/>
  <c r="BV6690" i="2"/>
  <c r="BV6691" i="2"/>
  <c r="BV6692" i="2"/>
  <c r="BV6693" i="2"/>
  <c r="BV6694" i="2"/>
  <c r="BV6695" i="2"/>
  <c r="BV6696" i="2"/>
  <c r="BV6697" i="2"/>
  <c r="BV6698" i="2"/>
  <c r="BV6699" i="2"/>
  <c r="BV6700" i="2"/>
  <c r="BV6701" i="2"/>
  <c r="BV6702" i="2"/>
  <c r="BV6703" i="2"/>
  <c r="BV6704" i="2"/>
  <c r="BV6705" i="2"/>
  <c r="BV6706" i="2"/>
  <c r="BV6707" i="2"/>
  <c r="BV6708" i="2"/>
  <c r="BV6709" i="2"/>
  <c r="BV6710" i="2"/>
  <c r="BV6711" i="2"/>
  <c r="BV6712" i="2"/>
  <c r="BV6713" i="2"/>
  <c r="BV6714" i="2"/>
  <c r="BV6715" i="2"/>
  <c r="BV6716" i="2"/>
  <c r="BV6717" i="2"/>
  <c r="BV6718" i="2"/>
  <c r="BV6719" i="2"/>
  <c r="BV6720" i="2"/>
  <c r="BV6721" i="2"/>
  <c r="BV6722" i="2"/>
  <c r="BV6723" i="2"/>
  <c r="BV6724" i="2"/>
  <c r="BV6725" i="2"/>
  <c r="BV6726" i="2"/>
  <c r="BV6727" i="2"/>
  <c r="BV6728" i="2"/>
  <c r="BV6729" i="2"/>
  <c r="BV6730" i="2"/>
  <c r="BV6731" i="2"/>
  <c r="BV6732" i="2"/>
  <c r="BV6733" i="2"/>
  <c r="BV6734" i="2"/>
  <c r="BV6735" i="2"/>
  <c r="BV6736" i="2"/>
  <c r="BV6737" i="2"/>
  <c r="BV6738" i="2"/>
  <c r="BV6739" i="2"/>
  <c r="BV6740" i="2"/>
  <c r="BV6741" i="2"/>
  <c r="BV6742" i="2"/>
  <c r="BV6743" i="2"/>
  <c r="BV6744" i="2"/>
  <c r="BV6745" i="2"/>
  <c r="BV6746" i="2"/>
  <c r="BV6747" i="2"/>
  <c r="BV6748" i="2"/>
  <c r="BV6749" i="2"/>
  <c r="BV6750" i="2"/>
  <c r="BV6751" i="2"/>
  <c r="BV6752" i="2"/>
  <c r="BV6753" i="2"/>
  <c r="BV6754" i="2"/>
  <c r="BV6755" i="2"/>
  <c r="BV6756" i="2"/>
  <c r="BV6757" i="2"/>
  <c r="BV6758" i="2"/>
  <c r="BV6759" i="2"/>
  <c r="BV6760" i="2"/>
  <c r="BV6761" i="2"/>
  <c r="BV6762" i="2"/>
  <c r="BV6763" i="2"/>
  <c r="BV6764" i="2"/>
  <c r="BV6765" i="2"/>
  <c r="BV6766" i="2"/>
  <c r="BV6767" i="2"/>
  <c r="BV6768" i="2"/>
  <c r="BV6769" i="2"/>
  <c r="BV6770" i="2"/>
  <c r="BV6771" i="2"/>
  <c r="BV6772" i="2"/>
  <c r="BV6773" i="2"/>
  <c r="BV6774" i="2"/>
  <c r="BV6775" i="2"/>
  <c r="BV6776" i="2"/>
  <c r="BV6777" i="2"/>
  <c r="BV6778" i="2"/>
  <c r="BV6779" i="2"/>
  <c r="BV6780" i="2"/>
  <c r="BV6781" i="2"/>
  <c r="BV6782" i="2"/>
  <c r="BV6783" i="2"/>
  <c r="BV6784" i="2"/>
  <c r="BV6785" i="2"/>
  <c r="BV6786" i="2"/>
  <c r="BV6787" i="2"/>
  <c r="BV6788" i="2"/>
  <c r="BV6789" i="2"/>
  <c r="BV6790" i="2"/>
  <c r="BV6791" i="2"/>
  <c r="BV6792" i="2"/>
  <c r="BV6793" i="2"/>
  <c r="BV6794" i="2"/>
  <c r="BV6795" i="2"/>
  <c r="BV6796" i="2"/>
  <c r="BV6797" i="2"/>
  <c r="BV6798" i="2"/>
  <c r="BV6799" i="2"/>
  <c r="BV6800" i="2"/>
  <c r="BV6801" i="2"/>
  <c r="BV6802" i="2"/>
  <c r="BV6803" i="2"/>
  <c r="BV6804" i="2"/>
  <c r="BV6805" i="2"/>
  <c r="BV6806" i="2"/>
  <c r="BV6807" i="2"/>
  <c r="BV6808" i="2"/>
  <c r="BV6809" i="2"/>
  <c r="BV6810" i="2"/>
  <c r="BV6811" i="2"/>
  <c r="BV6812" i="2"/>
  <c r="BV6813" i="2"/>
  <c r="BV6814" i="2"/>
  <c r="BV6815" i="2"/>
  <c r="BV6816" i="2"/>
  <c r="BV6817" i="2"/>
  <c r="BV6818" i="2"/>
  <c r="BV6819" i="2"/>
  <c r="BV6820" i="2"/>
  <c r="BV6821" i="2"/>
  <c r="BV6822" i="2"/>
  <c r="BV6823" i="2"/>
  <c r="BV6824" i="2"/>
  <c r="BV6825" i="2"/>
  <c r="BV6826" i="2"/>
  <c r="BV6827" i="2"/>
  <c r="BV6828" i="2"/>
  <c r="BV6829" i="2"/>
  <c r="BV6830" i="2"/>
  <c r="BV6831" i="2"/>
  <c r="BV6832" i="2"/>
  <c r="BV6833" i="2"/>
  <c r="BV6834" i="2"/>
  <c r="BV6835" i="2"/>
  <c r="BV6836" i="2"/>
  <c r="BV6837" i="2"/>
  <c r="BV6838" i="2"/>
  <c r="BV6839" i="2"/>
  <c r="BV6840" i="2"/>
  <c r="BV6841" i="2"/>
  <c r="BV6842" i="2"/>
  <c r="BV6843" i="2"/>
  <c r="BV6844" i="2"/>
  <c r="BV6845" i="2"/>
  <c r="BV6846" i="2"/>
  <c r="BV6847" i="2"/>
  <c r="BV6848" i="2"/>
  <c r="BV6849" i="2"/>
  <c r="BV6850" i="2"/>
  <c r="BV6851" i="2"/>
  <c r="BV6852" i="2"/>
  <c r="BV6853" i="2"/>
  <c r="BV6854" i="2"/>
  <c r="BV6855" i="2"/>
  <c r="BV6856" i="2"/>
  <c r="BV6857" i="2"/>
  <c r="BV6858" i="2"/>
  <c r="BV6859" i="2"/>
  <c r="BV6860" i="2"/>
  <c r="BV6861" i="2"/>
  <c r="BV6862" i="2"/>
  <c r="BV6863" i="2"/>
  <c r="BV6864" i="2"/>
  <c r="BV6865" i="2"/>
  <c r="BV6866" i="2"/>
  <c r="BV6867" i="2"/>
  <c r="BV6868" i="2"/>
  <c r="BV6869" i="2"/>
  <c r="BV6870" i="2"/>
  <c r="BV6871" i="2"/>
  <c r="BV6872" i="2"/>
  <c r="BV6873" i="2"/>
  <c r="BV6874" i="2"/>
  <c r="BV6875" i="2"/>
  <c r="BV6876" i="2"/>
  <c r="BV6877" i="2"/>
  <c r="BV6878" i="2"/>
  <c r="BV6879" i="2"/>
  <c r="BV6880" i="2"/>
  <c r="BV6881" i="2"/>
  <c r="BV6882" i="2"/>
  <c r="BV6883" i="2"/>
  <c r="BV6884" i="2"/>
  <c r="BV6885" i="2"/>
  <c r="BV6886" i="2"/>
  <c r="BV6887" i="2"/>
  <c r="BV6888" i="2"/>
  <c r="BV6889" i="2"/>
  <c r="BV6890" i="2"/>
  <c r="BV6891" i="2"/>
  <c r="BV6892" i="2"/>
  <c r="BV6893" i="2"/>
  <c r="BV6894" i="2"/>
  <c r="BV6895" i="2"/>
  <c r="BV6896" i="2"/>
  <c r="BV6897" i="2"/>
  <c r="BV6898" i="2"/>
  <c r="BV6899" i="2"/>
  <c r="BV6900" i="2"/>
  <c r="BV6901" i="2"/>
  <c r="BV6902" i="2"/>
  <c r="BV6903" i="2"/>
  <c r="BV6904" i="2"/>
  <c r="BV6905" i="2"/>
  <c r="BV6906" i="2"/>
  <c r="BV6907" i="2"/>
  <c r="BV6908" i="2"/>
  <c r="BV6909" i="2"/>
  <c r="BV6910" i="2"/>
  <c r="BV6911" i="2"/>
  <c r="BV6912" i="2"/>
  <c r="BV6913" i="2"/>
  <c r="BV6914" i="2"/>
  <c r="BV6915" i="2"/>
  <c r="BV6916" i="2"/>
  <c r="BV6917" i="2"/>
  <c r="BV6918" i="2"/>
  <c r="BV6919" i="2"/>
  <c r="BV6920" i="2"/>
  <c r="BV6921" i="2"/>
  <c r="BV6922" i="2"/>
  <c r="BV6923" i="2"/>
  <c r="BV6924" i="2"/>
  <c r="BV6925" i="2"/>
  <c r="BV6926" i="2"/>
  <c r="BV6927" i="2"/>
  <c r="BV6928" i="2"/>
  <c r="BV6929" i="2"/>
  <c r="BV6930" i="2"/>
  <c r="BV6931" i="2"/>
  <c r="BV6932" i="2"/>
  <c r="BV6933" i="2"/>
  <c r="BV6934" i="2"/>
  <c r="BV6935" i="2"/>
  <c r="BV6936" i="2"/>
  <c r="BV6937" i="2"/>
  <c r="BV6938" i="2"/>
  <c r="BV6939" i="2"/>
  <c r="BV6940" i="2"/>
  <c r="BV6941" i="2"/>
  <c r="BV6942" i="2"/>
  <c r="BV6943" i="2"/>
  <c r="BV6944" i="2"/>
  <c r="BV6945" i="2"/>
  <c r="BV6946" i="2"/>
  <c r="BV6947" i="2"/>
  <c r="BV6948" i="2"/>
  <c r="BV6949" i="2"/>
  <c r="BV6950" i="2"/>
  <c r="BV6951" i="2"/>
  <c r="BV6952" i="2"/>
  <c r="BV6953" i="2"/>
  <c r="BV6954" i="2"/>
  <c r="BV6955" i="2"/>
  <c r="BV6956" i="2"/>
  <c r="BV6957" i="2"/>
  <c r="BV6958" i="2"/>
  <c r="BV6959" i="2"/>
  <c r="BV6960" i="2"/>
  <c r="BV6961" i="2"/>
  <c r="BV6962" i="2"/>
  <c r="BV6963" i="2"/>
  <c r="BV6964" i="2"/>
  <c r="BV6965" i="2"/>
  <c r="BV6966" i="2"/>
  <c r="BV6967" i="2"/>
  <c r="BV6968" i="2"/>
  <c r="BV6969" i="2"/>
  <c r="BV6970" i="2"/>
  <c r="BV6971" i="2"/>
  <c r="BV6972" i="2"/>
  <c r="BV6973" i="2"/>
  <c r="BV6974" i="2"/>
  <c r="BV6975" i="2"/>
  <c r="BV6976" i="2"/>
  <c r="BV6977" i="2"/>
  <c r="BV6978" i="2"/>
  <c r="BV6979" i="2"/>
  <c r="BV6980" i="2"/>
  <c r="BV6981" i="2"/>
  <c r="BV6982" i="2"/>
  <c r="BV6983" i="2"/>
  <c r="BV6984" i="2"/>
  <c r="BV6985" i="2"/>
  <c r="BV6986" i="2"/>
  <c r="BV6987" i="2"/>
  <c r="BV6988" i="2"/>
  <c r="BV6989" i="2"/>
  <c r="BV6990" i="2"/>
  <c r="BV6991" i="2"/>
  <c r="BV6992" i="2"/>
  <c r="BV6993" i="2"/>
  <c r="BV6994" i="2"/>
  <c r="BV6995" i="2"/>
  <c r="BV6996" i="2"/>
  <c r="BV6997" i="2"/>
  <c r="BV6998" i="2"/>
  <c r="BV6999" i="2"/>
  <c r="BV7000" i="2"/>
  <c r="BV7001" i="2"/>
  <c r="BV7002" i="2"/>
  <c r="BV7003" i="2"/>
  <c r="BV7004" i="2"/>
  <c r="BV7005" i="2"/>
  <c r="BV7006" i="2"/>
  <c r="BV7007" i="2"/>
  <c r="BV7008" i="2"/>
  <c r="BV7009" i="2"/>
  <c r="BV7010" i="2"/>
  <c r="BV7011" i="2"/>
  <c r="BV7012" i="2"/>
  <c r="BV7013" i="2"/>
  <c r="BV7014" i="2"/>
  <c r="BV7015" i="2"/>
  <c r="BV7016" i="2"/>
  <c r="BV7017" i="2"/>
  <c r="BV7018" i="2"/>
  <c r="BV7019" i="2"/>
  <c r="BV7020" i="2"/>
  <c r="BV7021" i="2"/>
  <c r="BV7022" i="2"/>
  <c r="BV7023" i="2"/>
  <c r="BV7024" i="2"/>
  <c r="BV7025" i="2"/>
  <c r="BV7026" i="2"/>
  <c r="BV7027" i="2"/>
  <c r="BV7028" i="2"/>
  <c r="BV7029" i="2"/>
  <c r="BV7030" i="2"/>
  <c r="BV7031" i="2"/>
  <c r="BV7032" i="2"/>
  <c r="BV7033" i="2"/>
  <c r="BV7034" i="2"/>
  <c r="BV7035" i="2"/>
  <c r="BV7036" i="2"/>
  <c r="BV7037" i="2"/>
  <c r="BV7038" i="2"/>
  <c r="BV7039" i="2"/>
  <c r="BV7040" i="2"/>
  <c r="BV7041" i="2"/>
  <c r="BV7042" i="2"/>
  <c r="BV7043" i="2"/>
  <c r="BV7044" i="2"/>
  <c r="BV7045" i="2"/>
  <c r="BV7046" i="2"/>
  <c r="BV7047" i="2"/>
  <c r="BV7048" i="2"/>
  <c r="BV7049" i="2"/>
  <c r="BV7050" i="2"/>
  <c r="BV7051" i="2"/>
  <c r="BV7052" i="2"/>
  <c r="BV7053" i="2"/>
  <c r="BV7054" i="2"/>
  <c r="BV7055" i="2"/>
  <c r="BV7056" i="2"/>
  <c r="BV7057" i="2"/>
  <c r="BV7058" i="2"/>
  <c r="BV7059" i="2"/>
  <c r="BV7060" i="2"/>
  <c r="BV7061" i="2"/>
  <c r="BV7062" i="2"/>
  <c r="BV7063" i="2"/>
  <c r="BV7064" i="2"/>
  <c r="BV7065" i="2"/>
  <c r="BV7066" i="2"/>
  <c r="BV7067" i="2"/>
  <c r="BV7068" i="2"/>
  <c r="BV7069" i="2"/>
  <c r="BV7070" i="2"/>
  <c r="BV7071" i="2"/>
  <c r="BV7072" i="2"/>
  <c r="BV7073" i="2"/>
  <c r="BV7074" i="2"/>
  <c r="BV7075" i="2"/>
  <c r="BV7076" i="2"/>
  <c r="BV7077" i="2"/>
  <c r="BV7078" i="2"/>
  <c r="BV7079" i="2"/>
  <c r="BV7080" i="2"/>
  <c r="BV7081" i="2"/>
  <c r="BV7082" i="2"/>
  <c r="BV7083" i="2"/>
  <c r="BV7084" i="2"/>
  <c r="BV7085" i="2"/>
  <c r="BV7086" i="2"/>
  <c r="BV7087" i="2"/>
  <c r="BV7088" i="2"/>
  <c r="BV7089" i="2"/>
  <c r="BV7090" i="2"/>
  <c r="BV7091" i="2"/>
  <c r="BV7092" i="2"/>
  <c r="BV7093" i="2"/>
  <c r="BV7094" i="2"/>
  <c r="BV7095" i="2"/>
  <c r="BV7096" i="2"/>
  <c r="BV7097" i="2"/>
  <c r="BV7098" i="2"/>
  <c r="BV7099" i="2"/>
  <c r="BV7100" i="2"/>
  <c r="BV7101" i="2"/>
  <c r="BV7102" i="2"/>
  <c r="BV7103" i="2"/>
  <c r="BV7104" i="2"/>
  <c r="BV7105" i="2"/>
  <c r="BV7106" i="2"/>
  <c r="BV7107" i="2"/>
  <c r="BV7108" i="2"/>
  <c r="BV7109" i="2"/>
  <c r="BV7110" i="2"/>
  <c r="BV7111" i="2"/>
  <c r="BV7112" i="2"/>
  <c r="BV7113" i="2"/>
  <c r="BV7114" i="2"/>
  <c r="BV7115" i="2"/>
  <c r="BV7116" i="2"/>
  <c r="BV7117" i="2"/>
  <c r="BV7118" i="2"/>
  <c r="BV7119" i="2"/>
  <c r="BV7120" i="2"/>
  <c r="BV7121" i="2"/>
  <c r="BV7122" i="2"/>
  <c r="BV7123" i="2"/>
  <c r="BV7124" i="2"/>
  <c r="BV7125" i="2"/>
  <c r="BV7126" i="2"/>
  <c r="BV7127" i="2"/>
  <c r="BV7128" i="2"/>
  <c r="BV7129" i="2"/>
  <c r="BV7130" i="2"/>
  <c r="BV7131" i="2"/>
  <c r="BV7132" i="2"/>
  <c r="BV7133" i="2"/>
  <c r="BV7134" i="2"/>
  <c r="BV7135" i="2"/>
  <c r="BV7136" i="2"/>
  <c r="BV7137" i="2"/>
  <c r="BV7138" i="2"/>
  <c r="BV7139" i="2"/>
  <c r="BV7140" i="2"/>
  <c r="BV7141" i="2"/>
  <c r="BV7142" i="2"/>
  <c r="BV7143" i="2"/>
  <c r="BV7144" i="2"/>
  <c r="BV7145" i="2"/>
  <c r="BV7146" i="2"/>
  <c r="BV7147" i="2"/>
  <c r="BV7148" i="2"/>
  <c r="BV7149" i="2"/>
  <c r="BV7150" i="2"/>
  <c r="BV7151" i="2"/>
  <c r="BV7152" i="2"/>
  <c r="BV7153" i="2"/>
  <c r="BV7154" i="2"/>
  <c r="BV7155" i="2"/>
  <c r="BV7156" i="2"/>
  <c r="BV7157" i="2"/>
  <c r="BV7158" i="2"/>
  <c r="BV7159" i="2"/>
  <c r="BV7160" i="2"/>
  <c r="BV7161" i="2"/>
  <c r="BV7162" i="2"/>
  <c r="BV7163" i="2"/>
  <c r="BV7164" i="2"/>
  <c r="BV7165" i="2"/>
  <c r="BV7166" i="2"/>
  <c r="BV7167" i="2"/>
  <c r="BV7168" i="2"/>
  <c r="BV7169" i="2"/>
  <c r="BV7170" i="2"/>
  <c r="BV7171" i="2"/>
  <c r="BV7172" i="2"/>
  <c r="BV7173" i="2"/>
  <c r="BV7174" i="2"/>
  <c r="BV7175" i="2"/>
  <c r="BV7176" i="2"/>
  <c r="BV7177" i="2"/>
  <c r="BV7178" i="2"/>
  <c r="BV7179" i="2"/>
  <c r="BV7180" i="2"/>
  <c r="BV7181" i="2"/>
  <c r="BV7182" i="2"/>
  <c r="BV7183" i="2"/>
  <c r="BV7184" i="2"/>
  <c r="BV7185" i="2"/>
  <c r="BV7186" i="2"/>
  <c r="BV7187" i="2"/>
  <c r="BV7188" i="2"/>
  <c r="BV7189" i="2"/>
  <c r="BV7190" i="2"/>
  <c r="BV7191" i="2"/>
  <c r="BV7192" i="2"/>
  <c r="BV7193" i="2"/>
  <c r="BV7194" i="2"/>
  <c r="BV7195" i="2"/>
  <c r="BV7196" i="2"/>
  <c r="BV7197" i="2"/>
  <c r="BV7198" i="2"/>
  <c r="BV7199" i="2"/>
  <c r="BV7200" i="2"/>
  <c r="BV7201" i="2"/>
  <c r="BV7202" i="2"/>
  <c r="BV7203" i="2"/>
  <c r="BV7204" i="2"/>
  <c r="BV7205" i="2"/>
  <c r="BV7206" i="2"/>
  <c r="BV7207" i="2"/>
  <c r="BV7208" i="2"/>
  <c r="BV7209" i="2"/>
  <c r="BV7210" i="2"/>
  <c r="BV7211" i="2"/>
  <c r="BV7212" i="2"/>
  <c r="BV7213" i="2"/>
  <c r="BV7214" i="2"/>
  <c r="BV7215" i="2"/>
  <c r="BV7216" i="2"/>
  <c r="BV7217" i="2"/>
  <c r="BV7218" i="2"/>
  <c r="BV7219" i="2"/>
  <c r="BV7220" i="2"/>
  <c r="BV7221" i="2"/>
  <c r="BV7222" i="2"/>
  <c r="BV7223" i="2"/>
  <c r="BV7224" i="2"/>
  <c r="BV7225" i="2"/>
  <c r="BV7226" i="2"/>
  <c r="BV7227" i="2"/>
  <c r="BV7228" i="2"/>
  <c r="BV7229" i="2"/>
  <c r="BV7230" i="2"/>
  <c r="BV7231" i="2"/>
  <c r="BV7232" i="2"/>
  <c r="BV7233" i="2"/>
  <c r="BV7234" i="2"/>
  <c r="BV7235" i="2"/>
  <c r="BV7236" i="2"/>
  <c r="BV7237" i="2"/>
  <c r="BV7238" i="2"/>
  <c r="BV7239" i="2"/>
  <c r="BV7240" i="2"/>
  <c r="BV7241" i="2"/>
  <c r="BV7242" i="2"/>
  <c r="BV7243" i="2"/>
  <c r="BV7244" i="2"/>
  <c r="BV7245" i="2"/>
  <c r="BV7246" i="2"/>
  <c r="BV7247" i="2"/>
  <c r="BV7248" i="2"/>
  <c r="BV7249" i="2"/>
  <c r="BV7250" i="2"/>
  <c r="BV7251" i="2"/>
  <c r="BV7252" i="2"/>
  <c r="BV7253" i="2"/>
  <c r="BV7254" i="2"/>
  <c r="BV7255" i="2"/>
  <c r="BV7256" i="2"/>
  <c r="BV7257" i="2"/>
  <c r="BV7258" i="2"/>
  <c r="BV7259" i="2"/>
  <c r="BV7260" i="2"/>
  <c r="BV7261" i="2"/>
  <c r="BV7262" i="2"/>
  <c r="BV7263" i="2"/>
  <c r="BV7264" i="2"/>
  <c r="BV7265" i="2"/>
  <c r="BV7266" i="2"/>
  <c r="BV7267" i="2"/>
  <c r="BV7268" i="2"/>
  <c r="BV7269" i="2"/>
  <c r="BV7270" i="2"/>
  <c r="BV7271" i="2"/>
  <c r="BV7272" i="2"/>
  <c r="BV7273" i="2"/>
  <c r="BV7274" i="2"/>
  <c r="BV7275" i="2"/>
  <c r="BV7276" i="2"/>
  <c r="BV7277" i="2"/>
  <c r="BV7278" i="2"/>
  <c r="BV7279" i="2"/>
  <c r="BV7280" i="2"/>
  <c r="BV7281" i="2"/>
  <c r="BV7282" i="2"/>
  <c r="BV7283" i="2"/>
  <c r="BV7284" i="2"/>
  <c r="BV7285" i="2"/>
  <c r="BV7286" i="2"/>
  <c r="BV7287" i="2"/>
  <c r="BV7288" i="2"/>
  <c r="BV7289" i="2"/>
  <c r="BV7290" i="2"/>
  <c r="BV7291" i="2"/>
  <c r="BV7292" i="2"/>
  <c r="BV7293" i="2"/>
  <c r="BV7294" i="2"/>
  <c r="BV7295" i="2"/>
  <c r="BV7296" i="2"/>
  <c r="BV7297" i="2"/>
  <c r="BV7298" i="2"/>
  <c r="BV7299" i="2"/>
  <c r="BV7300" i="2"/>
  <c r="BV7301" i="2"/>
  <c r="BV7302" i="2"/>
  <c r="BV7303" i="2"/>
  <c r="BV7304" i="2"/>
  <c r="BV7305" i="2"/>
  <c r="BV7306" i="2"/>
  <c r="BV7307" i="2"/>
  <c r="BV7308" i="2"/>
  <c r="BV7309" i="2"/>
  <c r="BV7310" i="2"/>
  <c r="BV7311" i="2"/>
  <c r="BV7312" i="2"/>
  <c r="BV7313" i="2"/>
  <c r="BV7314" i="2"/>
  <c r="BV7315" i="2"/>
  <c r="BV7316" i="2"/>
  <c r="BV7317" i="2"/>
  <c r="BV7318" i="2"/>
  <c r="BV7319" i="2"/>
  <c r="BV7320" i="2"/>
  <c r="BV7321" i="2"/>
  <c r="BV7322" i="2"/>
  <c r="BV7323" i="2"/>
  <c r="BV7324" i="2"/>
  <c r="BV7325" i="2"/>
  <c r="BV7326" i="2"/>
  <c r="BV7327" i="2"/>
  <c r="BV7328" i="2"/>
  <c r="BV7329" i="2"/>
  <c r="BV7330" i="2"/>
  <c r="BV7331" i="2"/>
  <c r="BV7332" i="2"/>
  <c r="BV7333" i="2"/>
  <c r="BV7334" i="2"/>
  <c r="BV7335" i="2"/>
  <c r="BV7336" i="2"/>
  <c r="BV7337" i="2"/>
  <c r="BV7338" i="2"/>
  <c r="BV7339" i="2"/>
  <c r="BV7340" i="2"/>
  <c r="BV7341" i="2"/>
  <c r="BV7342" i="2"/>
  <c r="BV7343" i="2"/>
  <c r="BV7344" i="2"/>
  <c r="BV7345" i="2"/>
  <c r="BV2278" i="2"/>
  <c r="BV2277" i="2"/>
  <c r="BV2276" i="2"/>
  <c r="BV2275" i="2"/>
  <c r="BV2274" i="2"/>
  <c r="BV2273" i="2"/>
  <c r="BV2272" i="2"/>
  <c r="BV2271" i="2"/>
  <c r="BV2270" i="2"/>
  <c r="BV2269" i="2"/>
  <c r="BV2268" i="2"/>
  <c r="BV2267" i="2"/>
  <c r="BV2266" i="2"/>
  <c r="BV2265" i="2"/>
  <c r="BV2264" i="2"/>
  <c r="BV2263" i="2"/>
  <c r="BV2262" i="2"/>
  <c r="BV2261" i="2"/>
  <c r="BV2260" i="2"/>
  <c r="BV2259" i="2"/>
  <c r="BV2258" i="2"/>
  <c r="BV2257" i="2"/>
  <c r="BV2256" i="2"/>
  <c r="BV2255" i="2"/>
  <c r="BV2254" i="2"/>
  <c r="BV2253" i="2"/>
  <c r="BV2252" i="2"/>
  <c r="BV2251" i="2"/>
  <c r="BV2250" i="2"/>
  <c r="BV2249" i="2"/>
  <c r="BV2248" i="2"/>
  <c r="BV2247" i="2"/>
  <c r="BV2246" i="2"/>
  <c r="BV2245" i="2"/>
  <c r="BV2244" i="2"/>
  <c r="BV2243" i="2"/>
  <c r="BV2242" i="2"/>
  <c r="BV2241" i="2"/>
  <c r="BV2240" i="2"/>
  <c r="BV2239" i="2"/>
  <c r="BV2238" i="2"/>
  <c r="BV2237" i="2"/>
  <c r="BV2236" i="2"/>
  <c r="BV2235" i="2"/>
  <c r="BV2234" i="2"/>
  <c r="BV2233" i="2"/>
  <c r="BV2232" i="2"/>
  <c r="BV2231" i="2"/>
  <c r="BV2230" i="2"/>
  <c r="BV2229" i="2"/>
  <c r="BV2228" i="2"/>
  <c r="BV2227" i="2"/>
  <c r="BV2226" i="2"/>
  <c r="BV2225" i="2"/>
  <c r="BV2224" i="2"/>
  <c r="BV2223" i="2"/>
  <c r="BV2222" i="2"/>
  <c r="BV2221" i="2"/>
  <c r="BV2220" i="2"/>
  <c r="BV2219" i="2"/>
  <c r="BV2218" i="2"/>
  <c r="BV2217" i="2"/>
  <c r="BV2216" i="2"/>
  <c r="BV2215" i="2"/>
  <c r="BV2214" i="2"/>
  <c r="BV2213" i="2"/>
  <c r="BV2212" i="2"/>
  <c r="BV2211" i="2"/>
  <c r="BV2210" i="2"/>
  <c r="BV2209" i="2"/>
  <c r="BV2208" i="2"/>
  <c r="BV2207" i="2"/>
  <c r="BV2206" i="2"/>
  <c r="BV2205" i="2"/>
  <c r="BV2204" i="2"/>
  <c r="BV2203" i="2"/>
  <c r="BV2202" i="2"/>
  <c r="BV2201" i="2"/>
  <c r="BV2200" i="2"/>
  <c r="BV2199" i="2"/>
  <c r="BV2198" i="2"/>
  <c r="BV2197" i="2"/>
  <c r="BV2196" i="2"/>
  <c r="BV2195" i="2"/>
  <c r="BV2194" i="2"/>
  <c r="BV2193" i="2"/>
  <c r="BV2192" i="2"/>
  <c r="BV2191" i="2"/>
  <c r="BV2190" i="2"/>
  <c r="BV2189" i="2"/>
  <c r="BV2188" i="2"/>
  <c r="BV2187" i="2"/>
  <c r="BV2186" i="2"/>
  <c r="BV2185" i="2"/>
  <c r="BV2184" i="2"/>
  <c r="BV2183" i="2"/>
  <c r="BV2182" i="2"/>
  <c r="BV2181" i="2"/>
  <c r="BV2180" i="2"/>
  <c r="BV2179" i="2"/>
  <c r="BV2178" i="2"/>
  <c r="BV2177" i="2"/>
  <c r="BV2176" i="2"/>
  <c r="BV2175" i="2"/>
  <c r="BV2174" i="2"/>
  <c r="BV2173" i="2"/>
  <c r="BV2172" i="2"/>
  <c r="BV2171" i="2"/>
  <c r="BV2170" i="2"/>
  <c r="BV2169" i="2"/>
  <c r="BV2168" i="2"/>
  <c r="BV2167" i="2"/>
  <c r="BV2166" i="2"/>
  <c r="BV2165" i="2"/>
  <c r="BV2164" i="2"/>
  <c r="BV2163" i="2"/>
  <c r="BV2162" i="2"/>
  <c r="BV2161" i="2"/>
  <c r="BV2160" i="2"/>
  <c r="BV2159" i="2"/>
  <c r="BV2158" i="2"/>
  <c r="BV2157" i="2"/>
  <c r="BV2156" i="2"/>
  <c r="BV2155" i="2"/>
  <c r="BV2154" i="2"/>
  <c r="BV2153" i="2"/>
  <c r="BV2152" i="2"/>
  <c r="BV2151" i="2"/>
  <c r="BV2150" i="2"/>
  <c r="BV2149" i="2"/>
  <c r="BV2148" i="2"/>
  <c r="BV2147" i="2"/>
  <c r="BV2146" i="2"/>
  <c r="BV2145" i="2"/>
  <c r="BV2144" i="2"/>
  <c r="BV2143" i="2"/>
  <c r="BV2142" i="2"/>
  <c r="BV2141" i="2"/>
  <c r="BV2140" i="2"/>
  <c r="BV2139" i="2"/>
  <c r="BV2138" i="2"/>
  <c r="BV2137" i="2"/>
  <c r="BV2136" i="2"/>
  <c r="BV2135" i="2"/>
  <c r="BV2134" i="2"/>
  <c r="BV2133" i="2"/>
  <c r="BV2132" i="2"/>
  <c r="BV2131" i="2"/>
  <c r="BV2130" i="2"/>
  <c r="BV2129" i="2"/>
  <c r="BV2128" i="2"/>
  <c r="BV2127" i="2"/>
  <c r="BV2126" i="2"/>
  <c r="BV2125" i="2"/>
  <c r="BV2124" i="2"/>
  <c r="BV2123" i="2"/>
  <c r="BV2122" i="2"/>
  <c r="BV2121" i="2"/>
  <c r="BV2120" i="2"/>
  <c r="BV2119" i="2"/>
  <c r="BV2118" i="2"/>
  <c r="BV2117" i="2"/>
  <c r="BV2116" i="2"/>
  <c r="BV2115" i="2"/>
  <c r="BV2114" i="2"/>
  <c r="BV2113" i="2"/>
  <c r="BV2112" i="2"/>
  <c r="BV2111" i="2"/>
  <c r="BV2110" i="2"/>
  <c r="BV2109" i="2"/>
  <c r="BV2108" i="2"/>
  <c r="BV2107" i="2"/>
  <c r="BV2106" i="2"/>
  <c r="BV2105" i="2"/>
  <c r="BV2104" i="2"/>
  <c r="BV2103" i="2"/>
  <c r="BV2102" i="2"/>
  <c r="BV2101" i="2"/>
  <c r="BV2100" i="2"/>
  <c r="BV2099" i="2"/>
  <c r="BV2098" i="2"/>
  <c r="BV2097" i="2"/>
  <c r="BV2096" i="2"/>
  <c r="BV2095" i="2"/>
  <c r="BV2094" i="2"/>
  <c r="BV2093" i="2"/>
  <c r="BV2092" i="2"/>
  <c r="BV2091" i="2"/>
  <c r="BV2090" i="2"/>
  <c r="BV2089" i="2"/>
  <c r="BV2088" i="2"/>
  <c r="BV2087" i="2"/>
  <c r="BV2086" i="2"/>
  <c r="BV2085" i="2"/>
  <c r="BV2084" i="2"/>
  <c r="BV2083" i="2"/>
  <c r="BV2082" i="2"/>
  <c r="BV2081" i="2"/>
  <c r="BV2080" i="2"/>
  <c r="BV2079" i="2"/>
  <c r="BV2078" i="2"/>
  <c r="BV2077" i="2"/>
  <c r="BV2076" i="2"/>
  <c r="BV2075" i="2"/>
  <c r="BV2074" i="2"/>
  <c r="BV2073" i="2"/>
  <c r="BV2072" i="2"/>
  <c r="BV2071" i="2"/>
  <c r="BV2070" i="2"/>
  <c r="BV2069" i="2"/>
  <c r="BV2068" i="2"/>
  <c r="BV2067" i="2"/>
  <c r="BV2066" i="2"/>
  <c r="BV2065" i="2"/>
  <c r="BV2064" i="2"/>
  <c r="BV2063" i="2"/>
  <c r="BV2062" i="2"/>
  <c r="BV2061" i="2"/>
  <c r="BV2060" i="2"/>
  <c r="BV2059" i="2"/>
  <c r="BV2058" i="2"/>
  <c r="BV2057" i="2"/>
  <c r="BV2056" i="2"/>
  <c r="BV2055" i="2"/>
  <c r="BV2054" i="2"/>
  <c r="BV2053" i="2"/>
  <c r="BV2052" i="2"/>
  <c r="BV2051" i="2"/>
  <c r="BV2050" i="2"/>
  <c r="BV2049" i="2"/>
  <c r="BV2048" i="2"/>
  <c r="BV2047" i="2"/>
  <c r="BV2046" i="2"/>
  <c r="BV2045" i="2"/>
  <c r="BV2044" i="2"/>
  <c r="BV2043" i="2"/>
  <c r="BV2042" i="2"/>
  <c r="BV2041" i="2"/>
  <c r="BV2040" i="2"/>
  <c r="BV2039" i="2"/>
  <c r="BV2038" i="2"/>
  <c r="BV2037" i="2"/>
  <c r="BV2036" i="2"/>
  <c r="BV2035" i="2"/>
  <c r="BV2034" i="2"/>
  <c r="BV2033" i="2"/>
  <c r="BV2032" i="2"/>
  <c r="BV2031" i="2"/>
  <c r="BV2030" i="2"/>
  <c r="BV2029" i="2"/>
  <c r="BV2028" i="2"/>
  <c r="BV2027" i="2"/>
  <c r="BV2026" i="2"/>
  <c r="BV2025" i="2"/>
  <c r="BV2024" i="2"/>
  <c r="BV2023" i="2"/>
  <c r="BV2022" i="2"/>
  <c r="BV2021" i="2"/>
  <c r="BV2020" i="2"/>
  <c r="BV2019" i="2"/>
  <c r="BV2018" i="2"/>
  <c r="BV2017" i="2"/>
  <c r="BV2016" i="2"/>
  <c r="BV2015" i="2"/>
  <c r="BV2014" i="2"/>
  <c r="BV2013" i="2"/>
  <c r="BV2012" i="2"/>
  <c r="BV2011" i="2"/>
  <c r="BV2010" i="2"/>
  <c r="BV2009" i="2"/>
  <c r="BV2008" i="2"/>
  <c r="BV2007" i="2"/>
  <c r="BV2006" i="2"/>
  <c r="BV2005" i="2"/>
  <c r="BV2004" i="2"/>
  <c r="BV2003" i="2"/>
  <c r="BV2002" i="2"/>
  <c r="BV2001" i="2"/>
  <c r="BV2000" i="2"/>
  <c r="BV1999" i="2"/>
  <c r="BV1998" i="2"/>
  <c r="BV1997" i="2"/>
  <c r="BV1996" i="2"/>
  <c r="BV1995" i="2"/>
  <c r="BV1994" i="2"/>
  <c r="BV1993" i="2"/>
  <c r="BV1992" i="2"/>
  <c r="BV1991" i="2"/>
  <c r="BV1990" i="2"/>
  <c r="BV1989" i="2"/>
  <c r="BV1988" i="2"/>
  <c r="BV1987" i="2"/>
  <c r="BV1986" i="2"/>
  <c r="BV1985" i="2"/>
  <c r="BV1984" i="2"/>
  <c r="BV1983" i="2"/>
  <c r="BV1982" i="2"/>
  <c r="BV1981" i="2"/>
  <c r="BV1980" i="2"/>
  <c r="BV1979" i="2"/>
  <c r="BV1978" i="2"/>
  <c r="BV1977" i="2"/>
  <c r="BV1976" i="2"/>
  <c r="BV1975" i="2"/>
  <c r="BV1974" i="2"/>
  <c r="BV1973" i="2"/>
  <c r="BV1972" i="2"/>
  <c r="BV1971" i="2"/>
  <c r="BV1970" i="2"/>
  <c r="BV1969" i="2"/>
  <c r="BV1968" i="2"/>
  <c r="BV1967" i="2"/>
  <c r="BV1966" i="2"/>
  <c r="BV1965" i="2"/>
  <c r="BV1964" i="2"/>
  <c r="BV1963" i="2"/>
  <c r="BV1962" i="2"/>
  <c r="BV1961" i="2"/>
  <c r="BV1960" i="2"/>
  <c r="BV1959" i="2"/>
  <c r="BV1958" i="2"/>
  <c r="BV1957" i="2"/>
  <c r="BV1956" i="2"/>
  <c r="BV1955" i="2"/>
  <c r="BV1954" i="2"/>
  <c r="BV1953" i="2"/>
  <c r="BV1952" i="2"/>
  <c r="BV1951" i="2"/>
  <c r="BV1950" i="2"/>
  <c r="BV1949" i="2"/>
  <c r="BV1948" i="2"/>
  <c r="BV1947" i="2"/>
  <c r="BV1946" i="2"/>
  <c r="BV1945" i="2"/>
  <c r="BV1944" i="2"/>
  <c r="BV1943" i="2"/>
  <c r="BV1942" i="2"/>
  <c r="BV1941" i="2"/>
  <c r="BV1940" i="2"/>
  <c r="BV1939" i="2"/>
  <c r="BV1938" i="2"/>
  <c r="BV1937" i="2"/>
  <c r="BV1936" i="2"/>
  <c r="BV1935" i="2"/>
  <c r="BV1934" i="2"/>
  <c r="BV1933" i="2"/>
  <c r="BV1932" i="2"/>
  <c r="BV1931" i="2"/>
  <c r="BV1930" i="2"/>
  <c r="BV1929" i="2"/>
  <c r="BV1928" i="2"/>
  <c r="BV1927" i="2"/>
  <c r="BV1926" i="2"/>
  <c r="BV1925" i="2"/>
  <c r="BV1924" i="2"/>
  <c r="BV1923" i="2"/>
  <c r="BV1922" i="2"/>
  <c r="BV1921" i="2"/>
  <c r="BV1920" i="2"/>
  <c r="BV1919" i="2"/>
  <c r="BV1918" i="2"/>
  <c r="BV1917" i="2"/>
  <c r="BV1916" i="2"/>
  <c r="BV1915" i="2"/>
  <c r="BV1914" i="2"/>
  <c r="BV1913" i="2"/>
  <c r="BV1912" i="2"/>
  <c r="BV1911" i="2"/>
  <c r="BV1910" i="2"/>
  <c r="BV1909" i="2"/>
  <c r="BV1908" i="2"/>
  <c r="BV1907" i="2"/>
  <c r="BV1906" i="2"/>
  <c r="BV1905" i="2"/>
  <c r="BV1904" i="2"/>
  <c r="BV1903" i="2"/>
  <c r="BV1902" i="2"/>
  <c r="BV1901" i="2"/>
  <c r="BV1900" i="2"/>
  <c r="BV1899" i="2"/>
  <c r="BV1898" i="2"/>
  <c r="BV1897" i="2"/>
  <c r="BV1896" i="2"/>
  <c r="BV1895" i="2"/>
  <c r="BV1894" i="2"/>
  <c r="BV1893" i="2"/>
  <c r="BV1892" i="2"/>
  <c r="BV1891" i="2"/>
  <c r="BV1890" i="2"/>
  <c r="BV1889" i="2"/>
  <c r="BV1888" i="2"/>
  <c r="BV1887" i="2"/>
  <c r="BV1886" i="2"/>
  <c r="BV1885" i="2"/>
  <c r="BV1884" i="2"/>
  <c r="BV1883" i="2"/>
  <c r="BV1882" i="2"/>
  <c r="BV1881" i="2"/>
  <c r="BV1880" i="2"/>
  <c r="BV1879" i="2"/>
  <c r="BV1878" i="2"/>
  <c r="BV1877" i="2"/>
  <c r="BV1876" i="2"/>
  <c r="BV1875" i="2"/>
  <c r="BV1874" i="2"/>
  <c r="BV1873" i="2"/>
  <c r="BV1872" i="2"/>
  <c r="BV1871" i="2"/>
  <c r="BV1870" i="2"/>
  <c r="BV1869" i="2"/>
  <c r="BV1868" i="2"/>
  <c r="BV1867" i="2"/>
  <c r="BV1866" i="2"/>
  <c r="BV1865" i="2"/>
  <c r="BV1864" i="2"/>
  <c r="BV1863" i="2"/>
  <c r="BV1862" i="2"/>
  <c r="BV1861" i="2"/>
  <c r="BV1860" i="2"/>
  <c r="BV1859" i="2"/>
  <c r="BV1858" i="2"/>
  <c r="BV1857" i="2"/>
  <c r="BV1856" i="2"/>
  <c r="BV1855" i="2"/>
  <c r="BV1854" i="2"/>
  <c r="BV1853" i="2"/>
  <c r="BV1852" i="2"/>
  <c r="BV1851" i="2"/>
  <c r="BV1850" i="2"/>
  <c r="BV1849" i="2"/>
  <c r="BV1848" i="2"/>
  <c r="BV1847" i="2"/>
  <c r="BV1846" i="2"/>
  <c r="BV1845" i="2"/>
  <c r="BV1844" i="2"/>
  <c r="BV1843" i="2"/>
  <c r="BV1842" i="2"/>
  <c r="BV1841" i="2"/>
  <c r="BV1840" i="2"/>
  <c r="BV1839" i="2"/>
  <c r="BV1838" i="2"/>
  <c r="BV1837" i="2"/>
  <c r="BV1836" i="2"/>
  <c r="BV1835" i="2"/>
  <c r="BV1834" i="2"/>
  <c r="BV1833" i="2"/>
  <c r="BV1832" i="2"/>
  <c r="BV1831" i="2"/>
  <c r="BV1830" i="2"/>
  <c r="BV1829" i="2"/>
  <c r="BV1828" i="2"/>
  <c r="BV1827" i="2"/>
  <c r="BV1826" i="2"/>
  <c r="BV1825" i="2"/>
  <c r="BV1824" i="2"/>
  <c r="BV1823" i="2"/>
  <c r="BV1822" i="2"/>
  <c r="BV1821" i="2"/>
  <c r="BV1820" i="2"/>
  <c r="BV1819" i="2"/>
  <c r="BV1818" i="2"/>
  <c r="BV1817" i="2"/>
  <c r="BV1816" i="2"/>
  <c r="BV1815" i="2"/>
  <c r="BV1814" i="2"/>
  <c r="BV1813" i="2"/>
  <c r="BV1812" i="2"/>
  <c r="BV1811" i="2"/>
  <c r="BV1810" i="2"/>
  <c r="BV1809" i="2"/>
  <c r="BV1808" i="2"/>
  <c r="BV1807" i="2"/>
  <c r="BV1806" i="2"/>
  <c r="BV1805" i="2"/>
  <c r="BV1804" i="2"/>
  <c r="BV1803" i="2"/>
  <c r="BV1802" i="2"/>
  <c r="BV1801" i="2"/>
  <c r="BV1800" i="2"/>
  <c r="BV1799" i="2"/>
  <c r="BV1798" i="2"/>
  <c r="BV1797" i="2"/>
  <c r="BV1796" i="2"/>
  <c r="BV1795" i="2"/>
  <c r="BV1794" i="2"/>
  <c r="BV1793" i="2"/>
  <c r="BV1792" i="2"/>
  <c r="BV1791" i="2"/>
  <c r="BV1790" i="2"/>
  <c r="BV1789" i="2"/>
  <c r="BV1788" i="2"/>
  <c r="BV1787" i="2"/>
  <c r="BV1786" i="2"/>
  <c r="BV1785" i="2"/>
  <c r="BV1784" i="2"/>
  <c r="BV1783" i="2"/>
  <c r="BV1782" i="2"/>
  <c r="BV1781" i="2"/>
  <c r="BV1780" i="2"/>
  <c r="BV1779" i="2"/>
  <c r="BV1778" i="2"/>
  <c r="BV1777" i="2"/>
  <c r="BV1776" i="2"/>
  <c r="BV1775" i="2"/>
  <c r="BV1774" i="2"/>
  <c r="BV1773" i="2"/>
  <c r="BV1772" i="2"/>
  <c r="BV1771" i="2"/>
  <c r="BV1770" i="2"/>
  <c r="BV1769" i="2"/>
  <c r="BV1768" i="2"/>
  <c r="BV1767" i="2"/>
  <c r="BV1766" i="2"/>
  <c r="BV1765" i="2"/>
  <c r="BV1764" i="2"/>
  <c r="BV1763" i="2"/>
  <c r="BV1762" i="2"/>
  <c r="BV1761" i="2"/>
  <c r="BV1760" i="2"/>
  <c r="BV1759" i="2"/>
  <c r="BV1758" i="2"/>
  <c r="BV1757" i="2"/>
  <c r="BV1756" i="2"/>
  <c r="BV1755" i="2"/>
  <c r="BV1754" i="2"/>
  <c r="BV1753" i="2"/>
  <c r="BV1752" i="2"/>
  <c r="BV1751" i="2"/>
  <c r="BV1750" i="2"/>
  <c r="BV1749" i="2"/>
  <c r="BV1748" i="2"/>
  <c r="BV1747" i="2"/>
  <c r="BV1746" i="2"/>
  <c r="BV1745" i="2"/>
  <c r="BV1744" i="2"/>
  <c r="BV1743" i="2"/>
  <c r="BV1742" i="2"/>
  <c r="BV1741" i="2"/>
  <c r="BV1740" i="2"/>
  <c r="BV1739" i="2"/>
  <c r="BV1738" i="2"/>
  <c r="BV1737" i="2"/>
  <c r="BV1736" i="2"/>
  <c r="BV1735" i="2"/>
  <c r="BV1734" i="2"/>
  <c r="BV1733" i="2"/>
  <c r="BV1732" i="2"/>
  <c r="BV1731" i="2"/>
  <c r="BV1730" i="2"/>
  <c r="BV1729" i="2"/>
  <c r="BV1728" i="2"/>
  <c r="BV1727" i="2"/>
  <c r="BV1726" i="2"/>
  <c r="BV1725" i="2"/>
  <c r="BV1724" i="2"/>
  <c r="BV1723" i="2"/>
  <c r="BV1722" i="2"/>
  <c r="BV1721" i="2"/>
  <c r="BV1720" i="2"/>
  <c r="BV1719" i="2"/>
  <c r="BV1718" i="2"/>
  <c r="BV1717" i="2"/>
  <c r="BV1716" i="2"/>
  <c r="BV1715" i="2"/>
  <c r="BV1714" i="2"/>
  <c r="BV1713" i="2"/>
  <c r="BV1712" i="2"/>
  <c r="BV1711" i="2"/>
  <c r="BV1710" i="2"/>
  <c r="BV1709" i="2"/>
  <c r="BV1708" i="2"/>
  <c r="BV1707" i="2"/>
  <c r="BV1706" i="2"/>
  <c r="BV1705" i="2"/>
  <c r="BV1704" i="2"/>
  <c r="BV1703" i="2"/>
  <c r="BV1702" i="2"/>
  <c r="BV1701" i="2"/>
  <c r="BV1700" i="2"/>
  <c r="BV1699" i="2"/>
  <c r="BV1698" i="2"/>
  <c r="BV1697" i="2"/>
  <c r="BV1696" i="2"/>
  <c r="BV1695" i="2"/>
  <c r="BV1694" i="2"/>
  <c r="BV1693" i="2"/>
  <c r="BV1692" i="2"/>
  <c r="BV1691" i="2"/>
  <c r="BV1690" i="2"/>
  <c r="BV1689" i="2"/>
  <c r="BV1688" i="2"/>
  <c r="BV1687" i="2"/>
  <c r="BV1686" i="2"/>
  <c r="BV1685" i="2"/>
  <c r="BV1684" i="2"/>
  <c r="BV1683" i="2"/>
  <c r="BV1682" i="2"/>
  <c r="BV1681" i="2"/>
  <c r="BV1680" i="2"/>
  <c r="BV1679" i="2"/>
  <c r="BV1678" i="2"/>
  <c r="BV1677" i="2"/>
  <c r="BV1676" i="2"/>
  <c r="BV1675" i="2"/>
  <c r="BV1674" i="2"/>
  <c r="BV1673" i="2"/>
  <c r="BV1672" i="2"/>
  <c r="BV1671" i="2"/>
  <c r="BV1670" i="2"/>
  <c r="BV1669" i="2"/>
  <c r="BV1668" i="2"/>
  <c r="BV1667" i="2"/>
  <c r="BV1666" i="2"/>
  <c r="BV1665" i="2"/>
  <c r="BV1664" i="2"/>
  <c r="BV1663" i="2"/>
  <c r="BV1662" i="2"/>
  <c r="BV1661" i="2"/>
  <c r="BV1660" i="2"/>
  <c r="BV1659" i="2"/>
  <c r="BV1658" i="2"/>
  <c r="BV1657" i="2"/>
  <c r="BV1656" i="2"/>
  <c r="BV1655" i="2"/>
  <c r="BV1654" i="2"/>
  <c r="BV1653" i="2"/>
  <c r="BV1652" i="2"/>
  <c r="BV1651" i="2"/>
  <c r="BV1650" i="2"/>
  <c r="BV1649" i="2"/>
  <c r="BV1648" i="2"/>
  <c r="BV1647" i="2"/>
  <c r="BV1646" i="2"/>
  <c r="BV1645" i="2"/>
  <c r="BV1644" i="2"/>
  <c r="BV1643" i="2"/>
  <c r="BV1642" i="2"/>
  <c r="BV1641" i="2"/>
  <c r="BV1640" i="2"/>
  <c r="BV1639" i="2"/>
  <c r="BV1638" i="2"/>
  <c r="BV1637" i="2"/>
  <c r="BV1636" i="2"/>
  <c r="BV1635" i="2"/>
  <c r="BV1634" i="2"/>
  <c r="BV1633" i="2"/>
  <c r="BV1632" i="2"/>
  <c r="BV1631" i="2"/>
  <c r="BV1630" i="2"/>
  <c r="BV1629" i="2"/>
  <c r="BV1628" i="2"/>
  <c r="BV1627" i="2"/>
  <c r="BV1626" i="2"/>
  <c r="BV1625" i="2"/>
  <c r="BV1624" i="2"/>
  <c r="BV1623" i="2"/>
  <c r="BV1622" i="2"/>
  <c r="BV1621" i="2"/>
  <c r="BV1620" i="2"/>
  <c r="BV1619" i="2"/>
  <c r="BV1618" i="2"/>
  <c r="BV1617" i="2"/>
  <c r="BV1616" i="2"/>
  <c r="BV1615" i="2"/>
  <c r="BV1614" i="2"/>
  <c r="BV1613" i="2"/>
  <c r="BV1612" i="2"/>
  <c r="BV1611" i="2"/>
  <c r="BV1610" i="2"/>
  <c r="BV1609" i="2"/>
  <c r="BV1608" i="2"/>
  <c r="BV1607" i="2"/>
  <c r="BV1606" i="2"/>
  <c r="BV1605" i="2"/>
  <c r="BV1604" i="2"/>
  <c r="BV1603" i="2"/>
  <c r="BV1602" i="2"/>
  <c r="BV1601" i="2"/>
  <c r="BV1600" i="2"/>
  <c r="BV1599" i="2"/>
  <c r="BV1598" i="2"/>
  <c r="BV1597" i="2"/>
  <c r="BV1596" i="2"/>
  <c r="BV1595" i="2"/>
  <c r="BV1594" i="2"/>
  <c r="BV1593" i="2"/>
  <c r="BV1592" i="2"/>
  <c r="BV1591" i="2"/>
  <c r="BV1590" i="2"/>
  <c r="BV1589" i="2"/>
  <c r="BV1588" i="2"/>
  <c r="BV1587" i="2"/>
  <c r="BV1586" i="2"/>
  <c r="BV1585" i="2"/>
  <c r="BV1584" i="2"/>
  <c r="BV1583" i="2"/>
  <c r="BV1582" i="2"/>
  <c r="BV1581" i="2"/>
  <c r="BV1580" i="2"/>
  <c r="BV1579" i="2"/>
  <c r="BV1578" i="2"/>
  <c r="BV1577" i="2"/>
  <c r="BV1576" i="2"/>
  <c r="BV1575" i="2"/>
  <c r="BV1574" i="2"/>
  <c r="BV1573" i="2"/>
  <c r="BV1572" i="2"/>
  <c r="BV1571" i="2"/>
  <c r="BV1570" i="2"/>
  <c r="BV1569" i="2"/>
  <c r="BV1568" i="2"/>
  <c r="BV1567" i="2"/>
  <c r="BV1566" i="2"/>
  <c r="BV1565" i="2"/>
  <c r="BV1564" i="2"/>
  <c r="BV1563" i="2"/>
  <c r="BV1562" i="2"/>
  <c r="BV1561" i="2"/>
  <c r="BV1560" i="2"/>
  <c r="BV1559" i="2"/>
  <c r="BV1558" i="2"/>
  <c r="BV1557" i="2"/>
  <c r="BV1556" i="2"/>
  <c r="BV1555" i="2"/>
  <c r="BV1554" i="2"/>
  <c r="BV1553" i="2"/>
  <c r="BV1552" i="2"/>
  <c r="BV1551" i="2"/>
  <c r="BV1550" i="2"/>
  <c r="BV1549" i="2"/>
  <c r="BV1548" i="2"/>
  <c r="BV1547" i="2"/>
  <c r="BV1546" i="2"/>
  <c r="BV1545" i="2"/>
  <c r="BV1544" i="2"/>
  <c r="BV1543" i="2"/>
  <c r="BV1542" i="2"/>
  <c r="BV1541" i="2"/>
  <c r="BV1540" i="2"/>
  <c r="BV1539" i="2"/>
  <c r="BV1538" i="2"/>
  <c r="BV1537" i="2"/>
  <c r="BV1536" i="2"/>
  <c r="BV1535" i="2"/>
  <c r="BV1534" i="2"/>
  <c r="BV1533" i="2"/>
  <c r="BV1532" i="2"/>
  <c r="BV1531" i="2"/>
  <c r="BV1530" i="2"/>
  <c r="BV1529" i="2"/>
  <c r="BV1528" i="2"/>
  <c r="BV1527" i="2"/>
  <c r="BV1526" i="2"/>
  <c r="BV1525" i="2"/>
  <c r="BV1524" i="2"/>
  <c r="BV1523" i="2"/>
  <c r="BV1522" i="2"/>
  <c r="BV1521" i="2"/>
  <c r="BV1520" i="2"/>
  <c r="BV1519" i="2"/>
  <c r="BV1518" i="2"/>
  <c r="BV1517" i="2"/>
  <c r="BV1516" i="2"/>
  <c r="BV1515" i="2"/>
  <c r="BV1514" i="2"/>
  <c r="BV1513" i="2"/>
  <c r="BV1512" i="2"/>
  <c r="BV1511" i="2"/>
  <c r="BV1510" i="2"/>
  <c r="BV1509" i="2"/>
  <c r="BV1508" i="2"/>
  <c r="BV1507" i="2"/>
  <c r="BV1506" i="2"/>
  <c r="BV1505" i="2"/>
  <c r="BV1504" i="2"/>
  <c r="BV1503" i="2"/>
  <c r="BV1502" i="2"/>
  <c r="BV1501" i="2"/>
  <c r="BV1500" i="2"/>
  <c r="BV1499" i="2"/>
  <c r="BV1498" i="2"/>
  <c r="BV1497" i="2"/>
  <c r="BV1496" i="2"/>
  <c r="BV1495" i="2"/>
  <c r="BV1494" i="2"/>
  <c r="BV1493" i="2"/>
  <c r="BV1492" i="2"/>
  <c r="BV1491" i="2"/>
  <c r="BV1490" i="2"/>
  <c r="BV1489" i="2"/>
  <c r="BV1488" i="2"/>
  <c r="BV1487" i="2"/>
  <c r="BV1486" i="2"/>
  <c r="BV1485" i="2"/>
  <c r="BV1484" i="2"/>
  <c r="BV1483" i="2"/>
  <c r="BV1482" i="2"/>
  <c r="BV1481" i="2"/>
  <c r="BV1480" i="2"/>
  <c r="BV1479" i="2"/>
  <c r="BV1478" i="2"/>
  <c r="BV1477" i="2"/>
  <c r="BV1476" i="2"/>
  <c r="BV1475" i="2"/>
  <c r="BV1474" i="2"/>
  <c r="BV1473" i="2"/>
  <c r="BV1472" i="2"/>
  <c r="BV1471" i="2"/>
  <c r="BV1470" i="2"/>
  <c r="BV1469" i="2"/>
  <c r="BV1468" i="2"/>
  <c r="BV1467" i="2"/>
  <c r="BV1466" i="2"/>
  <c r="BV1465" i="2"/>
  <c r="BV1464" i="2"/>
  <c r="BV1463" i="2"/>
  <c r="BV1462" i="2"/>
  <c r="BV1461" i="2"/>
  <c r="BV1460" i="2"/>
  <c r="BV1459" i="2"/>
  <c r="BV1458" i="2"/>
  <c r="BV1457" i="2"/>
  <c r="BV1456" i="2"/>
  <c r="BV1455" i="2"/>
  <c r="BV1454" i="2"/>
  <c r="BV1453" i="2"/>
  <c r="BV1452" i="2"/>
  <c r="BV1451" i="2"/>
  <c r="BV1450" i="2"/>
  <c r="BV1449" i="2"/>
  <c r="BV1448" i="2"/>
  <c r="BV1447" i="2"/>
  <c r="BV1446" i="2"/>
  <c r="BV1445" i="2"/>
  <c r="BV1444" i="2"/>
  <c r="BV1443" i="2"/>
  <c r="BV1442" i="2"/>
  <c r="BV1441" i="2"/>
  <c r="BV1440" i="2"/>
  <c r="BV1439" i="2"/>
  <c r="BV1438" i="2"/>
  <c r="BV1437" i="2"/>
  <c r="BV1436" i="2"/>
  <c r="BV1435" i="2"/>
  <c r="BV1434" i="2"/>
  <c r="BV1433" i="2"/>
  <c r="BV1432" i="2"/>
  <c r="BV1431" i="2"/>
  <c r="BV1430" i="2"/>
  <c r="BV1429" i="2"/>
  <c r="BV1428" i="2"/>
  <c r="BV1427" i="2"/>
  <c r="BV1426" i="2"/>
  <c r="BV1425" i="2"/>
  <c r="BV1424" i="2"/>
  <c r="BV1423" i="2"/>
  <c r="BV1422" i="2"/>
  <c r="BV1421" i="2"/>
  <c r="BV1420" i="2"/>
  <c r="BV1419" i="2"/>
  <c r="BV1418" i="2"/>
  <c r="BV1417" i="2"/>
  <c r="BV1416" i="2"/>
  <c r="BV1415" i="2"/>
  <c r="BV1414" i="2"/>
  <c r="BV1413" i="2"/>
  <c r="BV1412" i="2"/>
  <c r="BV1411" i="2"/>
  <c r="BV1410" i="2"/>
  <c r="BV1409" i="2"/>
  <c r="BV1408" i="2"/>
  <c r="BV1407" i="2"/>
  <c r="BV1406" i="2"/>
  <c r="BV1405" i="2"/>
  <c r="BV1404" i="2"/>
  <c r="BV1403" i="2"/>
  <c r="BV1402" i="2"/>
  <c r="BV1401" i="2"/>
  <c r="BV1400" i="2"/>
  <c r="BV1399" i="2"/>
  <c r="BV1398" i="2"/>
  <c r="BV1397" i="2"/>
  <c r="BV1396" i="2"/>
  <c r="BV1395" i="2"/>
  <c r="BV1394" i="2"/>
  <c r="BV1393" i="2"/>
  <c r="BV1392" i="2"/>
  <c r="BV1391" i="2"/>
  <c r="BV1390" i="2"/>
  <c r="BV1389" i="2"/>
  <c r="BV1388" i="2"/>
  <c r="BV1387" i="2"/>
  <c r="BV1386" i="2"/>
  <c r="BV1385" i="2"/>
  <c r="BV1384" i="2"/>
  <c r="BV1383" i="2"/>
  <c r="BV1382" i="2"/>
  <c r="BV1381" i="2"/>
  <c r="BV1380" i="2"/>
  <c r="BV1379" i="2"/>
  <c r="BV1378" i="2"/>
  <c r="BV1377" i="2"/>
  <c r="BV1376" i="2"/>
  <c r="BV1375" i="2"/>
  <c r="BV1374" i="2"/>
  <c r="BV1373" i="2"/>
  <c r="BV1372" i="2"/>
  <c r="BV1371" i="2"/>
  <c r="BV1370" i="2"/>
  <c r="BV1369" i="2"/>
  <c r="BV1368" i="2"/>
  <c r="BV1367" i="2"/>
  <c r="BV1366" i="2"/>
  <c r="BV1365" i="2"/>
  <c r="BV1364" i="2"/>
  <c r="BV1363" i="2"/>
  <c r="BV1362" i="2"/>
  <c r="BV1361" i="2"/>
  <c r="BV1360" i="2"/>
  <c r="BV1359" i="2"/>
  <c r="BV1358" i="2"/>
  <c r="BV1357" i="2"/>
  <c r="BV1356" i="2"/>
  <c r="BV1355" i="2"/>
  <c r="BV1354" i="2"/>
  <c r="BV1353" i="2"/>
  <c r="BV1352" i="2"/>
  <c r="BV1351" i="2"/>
  <c r="BV1350" i="2"/>
  <c r="BV1349" i="2"/>
  <c r="BV1348" i="2"/>
  <c r="BV1347" i="2"/>
  <c r="BV1346" i="2"/>
  <c r="BV1345" i="2"/>
  <c r="BV1344" i="2"/>
  <c r="BV1343" i="2"/>
  <c r="BV1342" i="2"/>
  <c r="BV1341" i="2"/>
  <c r="BV1340" i="2"/>
  <c r="BV1339" i="2"/>
  <c r="BV1338" i="2"/>
  <c r="BV1337" i="2"/>
  <c r="BV1336" i="2"/>
  <c r="BV1335" i="2"/>
  <c r="BV1334" i="2"/>
  <c r="BV1333" i="2"/>
  <c r="BV1332" i="2"/>
  <c r="BV1331" i="2"/>
  <c r="BV1330" i="2"/>
  <c r="BV1329" i="2"/>
  <c r="BV1328" i="2"/>
  <c r="BV1327" i="2"/>
  <c r="BV1326" i="2"/>
  <c r="BV1325" i="2"/>
  <c r="BV1324" i="2"/>
  <c r="BV1323" i="2"/>
  <c r="BV1322" i="2"/>
  <c r="BV1321" i="2"/>
  <c r="BV1320" i="2"/>
  <c r="BV1319" i="2"/>
  <c r="BV1318" i="2"/>
  <c r="BV1317" i="2"/>
  <c r="BV1316" i="2"/>
  <c r="BV1315" i="2"/>
  <c r="BV1314" i="2"/>
  <c r="BV1313" i="2"/>
  <c r="BV1312" i="2"/>
  <c r="BV1311" i="2"/>
  <c r="BV1310" i="2"/>
  <c r="BV1309" i="2"/>
  <c r="BV1308" i="2"/>
  <c r="BV1307" i="2"/>
  <c r="BV1306" i="2"/>
  <c r="BV1305" i="2"/>
  <c r="BV1304" i="2"/>
  <c r="BV1303" i="2"/>
  <c r="BV1302" i="2"/>
  <c r="BV1301" i="2"/>
  <c r="BV1300" i="2"/>
  <c r="BV1299" i="2"/>
  <c r="BV1298" i="2"/>
  <c r="BV1297" i="2"/>
  <c r="BV1296" i="2"/>
  <c r="BV1295" i="2"/>
  <c r="BV1294" i="2"/>
  <c r="BV1293" i="2"/>
  <c r="BV1292" i="2"/>
  <c r="BV1291" i="2"/>
  <c r="BV1290" i="2"/>
  <c r="BV1289" i="2"/>
  <c r="BV1288" i="2"/>
  <c r="BV1287" i="2"/>
  <c r="BV1286" i="2"/>
  <c r="BV1285" i="2"/>
  <c r="BV1284" i="2"/>
  <c r="BV1283" i="2"/>
  <c r="BV1282" i="2"/>
  <c r="BV1281" i="2"/>
  <c r="BV1280" i="2"/>
  <c r="BV1279" i="2"/>
  <c r="BV1278" i="2"/>
  <c r="BV1277" i="2"/>
  <c r="BV1276" i="2"/>
  <c r="BV1275" i="2"/>
  <c r="BV1274" i="2"/>
  <c r="BV1273" i="2"/>
  <c r="BV1272" i="2"/>
  <c r="BV1271" i="2"/>
  <c r="BV1270" i="2"/>
  <c r="BV1269" i="2"/>
  <c r="BV1268" i="2"/>
  <c r="BV1267" i="2"/>
  <c r="BV1266" i="2"/>
  <c r="BV1265" i="2"/>
  <c r="BV1264" i="2"/>
  <c r="BV1263" i="2"/>
  <c r="BV1262" i="2"/>
  <c r="BV1261" i="2"/>
  <c r="BV1260" i="2"/>
  <c r="BV1259" i="2"/>
  <c r="BV1258" i="2"/>
  <c r="BV1257" i="2"/>
  <c r="BV1256" i="2"/>
  <c r="BV1255" i="2"/>
  <c r="BV1254" i="2"/>
  <c r="BV1253" i="2"/>
  <c r="BV1252" i="2"/>
  <c r="BV1251" i="2"/>
  <c r="BV1250" i="2"/>
  <c r="BV1249" i="2"/>
  <c r="BV1248" i="2"/>
  <c r="BV1247" i="2"/>
  <c r="BV1246" i="2"/>
  <c r="BV1245" i="2"/>
  <c r="BV1244" i="2"/>
  <c r="BV1243" i="2"/>
  <c r="BV1242" i="2"/>
  <c r="BV1241" i="2"/>
  <c r="BV1240" i="2"/>
  <c r="BV1239" i="2"/>
  <c r="BV1238" i="2"/>
  <c r="BV1237" i="2"/>
  <c r="BV1236" i="2"/>
  <c r="BV1235" i="2"/>
  <c r="BV1234" i="2"/>
  <c r="BV1233" i="2"/>
  <c r="BV1232" i="2"/>
  <c r="BV1231" i="2"/>
  <c r="BV1230" i="2"/>
  <c r="BV1229" i="2"/>
  <c r="BV1228" i="2"/>
  <c r="BV1227" i="2"/>
  <c r="BV1226" i="2"/>
  <c r="BV1225" i="2"/>
  <c r="BV1224" i="2"/>
  <c r="BV1223" i="2"/>
  <c r="BV1222" i="2"/>
  <c r="BV1221" i="2"/>
  <c r="BV1220" i="2"/>
  <c r="BV1219" i="2"/>
  <c r="BV1218" i="2"/>
  <c r="BV1217" i="2"/>
  <c r="BV1216" i="2"/>
  <c r="BV1215" i="2"/>
  <c r="BV1214" i="2"/>
  <c r="BV1213" i="2"/>
  <c r="BV1212" i="2"/>
  <c r="BV1211" i="2"/>
  <c r="BV1210" i="2"/>
  <c r="BV1209" i="2"/>
  <c r="BV1208" i="2"/>
  <c r="BV1207" i="2"/>
  <c r="BV1206" i="2"/>
  <c r="BV1205" i="2"/>
  <c r="BV1204" i="2"/>
  <c r="BV1203" i="2"/>
  <c r="BV1202" i="2"/>
  <c r="BV1201" i="2"/>
  <c r="BV1200" i="2"/>
  <c r="BV1199" i="2"/>
  <c r="BV1198" i="2"/>
  <c r="BV1197" i="2"/>
  <c r="BV1196" i="2"/>
  <c r="BV1195" i="2"/>
  <c r="BV1194" i="2"/>
  <c r="BV1193" i="2"/>
  <c r="BV1192" i="2"/>
  <c r="BV1191" i="2"/>
  <c r="BV1190" i="2"/>
  <c r="BV1189" i="2"/>
  <c r="BV1188" i="2"/>
  <c r="BV1187" i="2"/>
  <c r="BV1186" i="2"/>
  <c r="BV1185" i="2"/>
  <c r="BV1184" i="2"/>
  <c r="BV1183" i="2"/>
  <c r="BV1182" i="2"/>
  <c r="BV1181" i="2"/>
  <c r="BV1180" i="2"/>
  <c r="BV1179" i="2"/>
  <c r="BV1178" i="2"/>
  <c r="BV1177" i="2"/>
  <c r="BV1176" i="2"/>
  <c r="BV1175" i="2"/>
  <c r="BV1174" i="2"/>
  <c r="BV1173" i="2"/>
  <c r="BV1172" i="2"/>
  <c r="BV1171" i="2"/>
  <c r="BV1170" i="2"/>
  <c r="BV1169" i="2"/>
  <c r="BV1168" i="2"/>
  <c r="BV1167" i="2"/>
  <c r="BV1166" i="2"/>
  <c r="BV1165" i="2"/>
  <c r="BV1164" i="2"/>
  <c r="BV1163" i="2"/>
  <c r="BV1162" i="2"/>
  <c r="BV1161" i="2"/>
  <c r="BV1160" i="2"/>
  <c r="BV1159" i="2"/>
  <c r="BV1158" i="2"/>
  <c r="BV1157" i="2"/>
  <c r="BV1156" i="2"/>
  <c r="BV1155" i="2"/>
  <c r="BV1154" i="2"/>
  <c r="BV1153" i="2"/>
  <c r="BV1152" i="2"/>
  <c r="BV1151" i="2"/>
  <c r="BV1150" i="2"/>
  <c r="BV1149" i="2"/>
  <c r="BV1148" i="2"/>
  <c r="BV1147" i="2"/>
  <c r="BV1146" i="2"/>
  <c r="BV1145" i="2"/>
  <c r="BV1144" i="2"/>
  <c r="BV1143" i="2"/>
  <c r="BV1142" i="2"/>
  <c r="BV1141" i="2"/>
  <c r="BV1140" i="2"/>
  <c r="BV1139" i="2"/>
  <c r="BV1138" i="2"/>
  <c r="BV1137" i="2"/>
  <c r="BV1136" i="2"/>
  <c r="BV1135" i="2"/>
  <c r="BV1134" i="2"/>
  <c r="BV1133" i="2"/>
  <c r="BV1132" i="2"/>
  <c r="BV1131" i="2"/>
  <c r="BV1130" i="2"/>
  <c r="BV1129" i="2"/>
  <c r="BV1128" i="2"/>
  <c r="BV1127" i="2"/>
  <c r="BV1126" i="2"/>
  <c r="BV1125" i="2"/>
  <c r="BV1124" i="2"/>
  <c r="BV1123" i="2"/>
  <c r="BV1122" i="2"/>
  <c r="BV1121" i="2"/>
  <c r="BV1120" i="2"/>
  <c r="BV1119" i="2"/>
  <c r="BV1118" i="2"/>
  <c r="BV1117" i="2"/>
  <c r="BV1116" i="2"/>
  <c r="BV1115" i="2"/>
  <c r="BV1114" i="2"/>
  <c r="BV1113" i="2"/>
  <c r="BV1112" i="2"/>
  <c r="BV1111" i="2"/>
  <c r="BV1110" i="2"/>
  <c r="BV1109" i="2"/>
  <c r="BV1108" i="2"/>
  <c r="BV1107" i="2"/>
  <c r="BV1106" i="2"/>
  <c r="BV1105" i="2"/>
  <c r="BV1104" i="2"/>
  <c r="BV1103" i="2"/>
  <c r="BV1102" i="2"/>
  <c r="BV1101" i="2"/>
  <c r="BV1100" i="2"/>
  <c r="BV1099" i="2"/>
  <c r="BV1098" i="2"/>
  <c r="BV1097" i="2"/>
  <c r="BV1096" i="2"/>
  <c r="BV1095" i="2"/>
  <c r="BV1094" i="2"/>
  <c r="BV1093" i="2"/>
  <c r="BV1092" i="2"/>
  <c r="BV1091" i="2"/>
  <c r="BV1090" i="2"/>
  <c r="BV1089" i="2"/>
  <c r="BV1088" i="2"/>
  <c r="BV1087" i="2"/>
  <c r="BV1086" i="2"/>
  <c r="BV1085" i="2"/>
  <c r="BV1084" i="2"/>
  <c r="BV1083" i="2"/>
  <c r="BV1082" i="2"/>
  <c r="BV1081" i="2"/>
  <c r="BV1080" i="2"/>
  <c r="BV1079" i="2"/>
  <c r="BV1078" i="2"/>
  <c r="BV1077" i="2"/>
  <c r="BV1076" i="2"/>
  <c r="BV1075" i="2"/>
  <c r="BV1074" i="2"/>
  <c r="BV1073" i="2"/>
  <c r="BV1072" i="2"/>
  <c r="BV1071" i="2"/>
  <c r="BV1070" i="2"/>
  <c r="BV1069" i="2"/>
  <c r="BV1068" i="2"/>
  <c r="BV1067" i="2"/>
  <c r="BV1066" i="2"/>
  <c r="BV1065" i="2"/>
  <c r="BV1064" i="2"/>
  <c r="BV1063" i="2"/>
  <c r="BV1062" i="2"/>
  <c r="BV1061" i="2"/>
  <c r="BV1060" i="2"/>
  <c r="BV1059" i="2"/>
  <c r="BV1058" i="2"/>
  <c r="BV1057" i="2"/>
  <c r="BV1056" i="2"/>
  <c r="BV1055" i="2"/>
  <c r="BV1054" i="2"/>
  <c r="BV1053" i="2"/>
  <c r="BV1052" i="2"/>
  <c r="BV1051" i="2"/>
  <c r="BV1050" i="2"/>
  <c r="BV1049" i="2"/>
  <c r="BV1048" i="2"/>
  <c r="BV1047" i="2"/>
  <c r="BV1046" i="2"/>
  <c r="BV1045" i="2"/>
  <c r="BV1044" i="2"/>
  <c r="BV1043" i="2"/>
  <c r="BV1042" i="2"/>
  <c r="BV1041" i="2"/>
  <c r="BV1040" i="2"/>
  <c r="BV1039" i="2"/>
  <c r="BV1038" i="2"/>
  <c r="BV1037" i="2"/>
  <c r="BV1036" i="2"/>
  <c r="BV1035" i="2"/>
  <c r="BV1034" i="2"/>
  <c r="BV1033" i="2"/>
  <c r="BV1032" i="2"/>
  <c r="BV1031" i="2"/>
  <c r="BV1030" i="2"/>
  <c r="BV1029" i="2"/>
  <c r="BV1028" i="2"/>
  <c r="BV1027" i="2"/>
  <c r="BV1026" i="2"/>
  <c r="BV1025" i="2"/>
  <c r="BV1024" i="2"/>
  <c r="BV1023" i="2"/>
  <c r="BV1022" i="2"/>
  <c r="BV1021" i="2"/>
  <c r="BV1020" i="2"/>
  <c r="BV1019" i="2"/>
  <c r="BV1018" i="2"/>
  <c r="BV1017" i="2"/>
  <c r="BV1016" i="2"/>
  <c r="BV1015" i="2"/>
  <c r="BV1014" i="2"/>
  <c r="BV1013" i="2"/>
  <c r="BV1012" i="2"/>
  <c r="BV1011" i="2"/>
  <c r="BV1010" i="2"/>
  <c r="BV1009" i="2"/>
  <c r="BV1008" i="2"/>
  <c r="BV1007" i="2"/>
  <c r="BV1006" i="2"/>
  <c r="BV1005" i="2"/>
  <c r="BV1004" i="2"/>
  <c r="BV1003" i="2"/>
  <c r="BV1002" i="2"/>
  <c r="BV1001" i="2"/>
  <c r="BV1000" i="2"/>
  <c r="BV999" i="2"/>
  <c r="BV998" i="2"/>
  <c r="BV997" i="2"/>
  <c r="BV996" i="2"/>
  <c r="BV995" i="2"/>
  <c r="BV994" i="2"/>
  <c r="BV993" i="2"/>
  <c r="BV992" i="2"/>
  <c r="BV991" i="2"/>
  <c r="BV990" i="2"/>
  <c r="BV989" i="2"/>
  <c r="BV988" i="2"/>
  <c r="BV987" i="2"/>
  <c r="BV986" i="2"/>
  <c r="BV985" i="2"/>
  <c r="BV984" i="2"/>
  <c r="BV983" i="2"/>
  <c r="BV982" i="2"/>
  <c r="BV981" i="2"/>
  <c r="BV980" i="2"/>
  <c r="BV979" i="2"/>
  <c r="BV978" i="2"/>
  <c r="BV977" i="2"/>
  <c r="BV976" i="2"/>
  <c r="BV975" i="2"/>
  <c r="BV974" i="2"/>
  <c r="BV973" i="2"/>
  <c r="BV972" i="2"/>
  <c r="BV971" i="2"/>
  <c r="BV970" i="2"/>
  <c r="BV969" i="2"/>
  <c r="BV968" i="2"/>
  <c r="BV967" i="2"/>
  <c r="BV966" i="2"/>
  <c r="BV965" i="2"/>
  <c r="BV964" i="2"/>
  <c r="BV963" i="2"/>
  <c r="BV962" i="2"/>
  <c r="BV961" i="2"/>
  <c r="BV960" i="2"/>
  <c r="BV959" i="2"/>
  <c r="BV958" i="2"/>
  <c r="BV957" i="2"/>
  <c r="BV956" i="2"/>
  <c r="BV955" i="2"/>
  <c r="BV954" i="2"/>
  <c r="BV953" i="2"/>
  <c r="BV952" i="2"/>
  <c r="BV951" i="2"/>
  <c r="BV950" i="2"/>
  <c r="BV949" i="2"/>
  <c r="BV948" i="2"/>
  <c r="BV947" i="2"/>
  <c r="BV946" i="2"/>
  <c r="BV945" i="2"/>
  <c r="BV944" i="2"/>
  <c r="BV943" i="2"/>
  <c r="BV942" i="2"/>
  <c r="BV941" i="2"/>
  <c r="BV940" i="2"/>
  <c r="BV939" i="2"/>
  <c r="BV938" i="2"/>
  <c r="BV937" i="2"/>
  <c r="BV936" i="2"/>
  <c r="BV935" i="2"/>
  <c r="BV934" i="2"/>
  <c r="BV933" i="2"/>
  <c r="BV932" i="2"/>
  <c r="BV931" i="2"/>
  <c r="BV930" i="2"/>
  <c r="BV929" i="2"/>
  <c r="BV928" i="2"/>
  <c r="BV927" i="2"/>
  <c r="BV926" i="2"/>
  <c r="BV925" i="2"/>
  <c r="BV924" i="2"/>
  <c r="BV923" i="2"/>
  <c r="BV922" i="2"/>
  <c r="BV921" i="2"/>
  <c r="BV920" i="2"/>
  <c r="BV919" i="2"/>
  <c r="BV918" i="2"/>
  <c r="BV917" i="2"/>
  <c r="BV916" i="2"/>
  <c r="BV915" i="2"/>
  <c r="BV914" i="2"/>
  <c r="BV913" i="2"/>
  <c r="BV912" i="2"/>
  <c r="BV911" i="2"/>
  <c r="BV910" i="2"/>
  <c r="BV909" i="2"/>
  <c r="BV908" i="2"/>
  <c r="BV907" i="2"/>
  <c r="BV906" i="2"/>
  <c r="BV905" i="2"/>
  <c r="BV904" i="2"/>
  <c r="BV903" i="2"/>
  <c r="BV902" i="2"/>
  <c r="BV901" i="2"/>
  <c r="BV900" i="2"/>
  <c r="BV899" i="2"/>
  <c r="BV898" i="2"/>
  <c r="BV897" i="2"/>
  <c r="BV896" i="2"/>
  <c r="BV895" i="2"/>
  <c r="BV894" i="2"/>
  <c r="BV893" i="2"/>
  <c r="BV892" i="2"/>
  <c r="BV891" i="2"/>
  <c r="BV890" i="2"/>
  <c r="BV889" i="2"/>
  <c r="BV888" i="2"/>
  <c r="BV887" i="2"/>
  <c r="BV886" i="2"/>
  <c r="BV885" i="2"/>
  <c r="BV884" i="2"/>
  <c r="BV883" i="2"/>
  <c r="BV882" i="2"/>
  <c r="BV881" i="2"/>
  <c r="BV880" i="2"/>
  <c r="BV879" i="2"/>
  <c r="BV878" i="2"/>
  <c r="BV877" i="2"/>
  <c r="BV876" i="2"/>
  <c r="BV875" i="2"/>
  <c r="BV874" i="2"/>
  <c r="BV873" i="2"/>
  <c r="BV872" i="2"/>
  <c r="BV871" i="2"/>
  <c r="BV870" i="2"/>
  <c r="BV869" i="2"/>
  <c r="BV868" i="2"/>
  <c r="BV867" i="2"/>
  <c r="BV866" i="2"/>
  <c r="BV865" i="2"/>
  <c r="BV864" i="2"/>
  <c r="BV863" i="2"/>
  <c r="BV862" i="2"/>
  <c r="BV861" i="2"/>
  <c r="BV860" i="2"/>
  <c r="BV859" i="2"/>
  <c r="BV858" i="2"/>
  <c r="BV857" i="2"/>
  <c r="BV856" i="2"/>
  <c r="BV855" i="2"/>
  <c r="BV854" i="2"/>
  <c r="BV853" i="2"/>
  <c r="BV852" i="2"/>
  <c r="BV851" i="2"/>
  <c r="BV850" i="2"/>
  <c r="BV849" i="2"/>
  <c r="BV848" i="2"/>
  <c r="BV847" i="2"/>
  <c r="BV846" i="2"/>
  <c r="BV845" i="2"/>
  <c r="BV844" i="2"/>
  <c r="BV843" i="2"/>
  <c r="BV842" i="2"/>
  <c r="BV841" i="2"/>
  <c r="BV840" i="2"/>
  <c r="BV839" i="2"/>
  <c r="BV838" i="2"/>
  <c r="BV837" i="2"/>
  <c r="BV836" i="2"/>
  <c r="BV835" i="2"/>
  <c r="BV834" i="2"/>
  <c r="BV833" i="2"/>
  <c r="BV832" i="2"/>
  <c r="BV831" i="2"/>
  <c r="BV830" i="2"/>
  <c r="BV829" i="2"/>
  <c r="BV828" i="2"/>
  <c r="BV827" i="2"/>
  <c r="BV826" i="2"/>
  <c r="BV825" i="2"/>
  <c r="BV824" i="2"/>
  <c r="BV823" i="2"/>
  <c r="BV822" i="2"/>
  <c r="BV821" i="2"/>
  <c r="BV820" i="2"/>
  <c r="BV819" i="2"/>
  <c r="BV818" i="2"/>
  <c r="BV817" i="2"/>
  <c r="BV816" i="2"/>
  <c r="BV815" i="2"/>
  <c r="BV814" i="2"/>
  <c r="BV813" i="2"/>
  <c r="BV812" i="2"/>
  <c r="BV811" i="2"/>
  <c r="BV810" i="2"/>
  <c r="BV809" i="2"/>
  <c r="BV808" i="2"/>
  <c r="BV807" i="2"/>
  <c r="BV806" i="2"/>
  <c r="BV805" i="2"/>
  <c r="BV804" i="2"/>
  <c r="BV803" i="2"/>
  <c r="BV802" i="2"/>
  <c r="BV801" i="2"/>
  <c r="BV800" i="2"/>
  <c r="BV799" i="2"/>
  <c r="BV798" i="2"/>
  <c r="BV797" i="2"/>
  <c r="BV796" i="2"/>
  <c r="BV795" i="2"/>
  <c r="BV794" i="2"/>
  <c r="BV793" i="2"/>
  <c r="BV792" i="2"/>
  <c r="BV791" i="2"/>
  <c r="BV790" i="2"/>
  <c r="BV789" i="2"/>
  <c r="BV788" i="2"/>
  <c r="BV787" i="2"/>
  <c r="BV786" i="2"/>
  <c r="BV785" i="2"/>
  <c r="BV784" i="2"/>
  <c r="BV783" i="2"/>
  <c r="BV782" i="2"/>
  <c r="BV781" i="2"/>
  <c r="BV780" i="2"/>
  <c r="BV779" i="2"/>
  <c r="BV778" i="2"/>
  <c r="BV777" i="2"/>
  <c r="BV776" i="2"/>
  <c r="BV775" i="2"/>
  <c r="BV774" i="2"/>
  <c r="BV773" i="2"/>
  <c r="BV772" i="2"/>
  <c r="BV771" i="2"/>
  <c r="BV770" i="2"/>
  <c r="BV769" i="2"/>
  <c r="BV768" i="2"/>
  <c r="BV767" i="2"/>
  <c r="BV766" i="2"/>
  <c r="BV765" i="2"/>
  <c r="BV764" i="2"/>
  <c r="BV763" i="2"/>
  <c r="BV762" i="2"/>
  <c r="BV761" i="2"/>
  <c r="BV760" i="2"/>
  <c r="BV759" i="2"/>
  <c r="BV758" i="2"/>
  <c r="BV757" i="2"/>
  <c r="BV756" i="2"/>
  <c r="BV755" i="2"/>
  <c r="BV754" i="2"/>
  <c r="BV753" i="2"/>
  <c r="BV752" i="2"/>
  <c r="BV751" i="2"/>
  <c r="BV750" i="2"/>
  <c r="BV749" i="2"/>
  <c r="BV748" i="2"/>
  <c r="BV747" i="2"/>
  <c r="BV746" i="2"/>
  <c r="BV745" i="2"/>
  <c r="BV744" i="2"/>
  <c r="BV743" i="2"/>
  <c r="BV742" i="2"/>
  <c r="BV741" i="2"/>
  <c r="BV740" i="2"/>
  <c r="BV739" i="2"/>
  <c r="BV738" i="2"/>
  <c r="BV737" i="2"/>
  <c r="BV736" i="2"/>
  <c r="BV735" i="2"/>
  <c r="BV734" i="2"/>
  <c r="BV733" i="2"/>
  <c r="BV732" i="2"/>
  <c r="BV731" i="2"/>
  <c r="BV730" i="2"/>
  <c r="BV729" i="2"/>
  <c r="BV728" i="2"/>
  <c r="BV727" i="2"/>
  <c r="BV726" i="2"/>
  <c r="BV725" i="2"/>
  <c r="BV724" i="2"/>
  <c r="BV723" i="2"/>
  <c r="BV722" i="2"/>
  <c r="BV721" i="2"/>
  <c r="BV720" i="2"/>
  <c r="BV719" i="2"/>
  <c r="BV718" i="2"/>
  <c r="BV717" i="2"/>
  <c r="BV716" i="2"/>
  <c r="BV715" i="2"/>
  <c r="BV714" i="2"/>
  <c r="BV713" i="2"/>
  <c r="BV712" i="2"/>
  <c r="BV711" i="2"/>
  <c r="BV710" i="2"/>
  <c r="BV709" i="2"/>
  <c r="BV708" i="2"/>
  <c r="BV707" i="2"/>
  <c r="BV706" i="2"/>
  <c r="BV705" i="2"/>
  <c r="BV704" i="2"/>
  <c r="BV703" i="2"/>
  <c r="BV702" i="2"/>
  <c r="BV701" i="2"/>
  <c r="BV700" i="2"/>
  <c r="BV699" i="2"/>
  <c r="BV698" i="2"/>
  <c r="BV697" i="2"/>
  <c r="BV696" i="2"/>
  <c r="BV695" i="2"/>
  <c r="BV694" i="2"/>
  <c r="BV693" i="2"/>
  <c r="BV692" i="2"/>
  <c r="BV691" i="2"/>
  <c r="BV690" i="2"/>
  <c r="BV689" i="2"/>
  <c r="BV688" i="2"/>
  <c r="BV687" i="2"/>
  <c r="BV686" i="2"/>
  <c r="BV685" i="2"/>
  <c r="BV684" i="2"/>
  <c r="BV683" i="2"/>
  <c r="BV682" i="2"/>
  <c r="BV681" i="2"/>
  <c r="BV680" i="2"/>
  <c r="BV679" i="2"/>
  <c r="BV678" i="2"/>
  <c r="BV677" i="2"/>
  <c r="BV676" i="2"/>
  <c r="BV675" i="2"/>
  <c r="BV674" i="2"/>
  <c r="BV673" i="2"/>
  <c r="BV672" i="2"/>
  <c r="BV671" i="2"/>
  <c r="BV670" i="2"/>
  <c r="BV669" i="2"/>
  <c r="BV668" i="2"/>
  <c r="BV667" i="2"/>
  <c r="BV666" i="2"/>
  <c r="BV665" i="2"/>
  <c r="BV664" i="2"/>
  <c r="BV663" i="2"/>
  <c r="BV662" i="2"/>
  <c r="BV661" i="2"/>
  <c r="BV660" i="2"/>
  <c r="BV659" i="2"/>
  <c r="BV658" i="2"/>
  <c r="BV657" i="2"/>
  <c r="BV656" i="2"/>
  <c r="BV655" i="2"/>
  <c r="BV654" i="2"/>
  <c r="BV653" i="2"/>
  <c r="BV652" i="2"/>
  <c r="BV651" i="2"/>
  <c r="BV650" i="2"/>
  <c r="BV649" i="2"/>
  <c r="BV648" i="2"/>
  <c r="BV647" i="2"/>
  <c r="BV646" i="2"/>
  <c r="BV645" i="2"/>
  <c r="BV644" i="2"/>
  <c r="BV643" i="2"/>
  <c r="BV642" i="2"/>
  <c r="BV641" i="2"/>
  <c r="BV640" i="2"/>
  <c r="BV639" i="2"/>
  <c r="BV638" i="2"/>
  <c r="BV637" i="2"/>
  <c r="BV636" i="2"/>
  <c r="BV635" i="2"/>
  <c r="BV634" i="2"/>
  <c r="BV633" i="2"/>
  <c r="BV632" i="2"/>
  <c r="BV631" i="2"/>
  <c r="BV630" i="2"/>
  <c r="BV629" i="2"/>
  <c r="BV628" i="2"/>
  <c r="BV627" i="2"/>
  <c r="BV626" i="2"/>
  <c r="BV625" i="2"/>
  <c r="BV624" i="2"/>
  <c r="BV623" i="2"/>
  <c r="BV622" i="2"/>
  <c r="BV621" i="2"/>
  <c r="BV620" i="2"/>
  <c r="BV619" i="2"/>
  <c r="BV618" i="2"/>
  <c r="BV617" i="2"/>
  <c r="BV616" i="2"/>
  <c r="BV615" i="2"/>
  <c r="BV614" i="2"/>
  <c r="BV613" i="2"/>
  <c r="BV612" i="2"/>
  <c r="BV611" i="2"/>
  <c r="BV610" i="2"/>
  <c r="BV609" i="2"/>
  <c r="BV608" i="2"/>
  <c r="BV607" i="2"/>
  <c r="BV606" i="2"/>
  <c r="BV605" i="2"/>
  <c r="BV604" i="2"/>
  <c r="BV603" i="2"/>
  <c r="BV602" i="2"/>
  <c r="BV601" i="2"/>
  <c r="BV600" i="2"/>
  <c r="BV599" i="2"/>
  <c r="BV598" i="2"/>
  <c r="BV597" i="2"/>
  <c r="BV596" i="2"/>
  <c r="BV595" i="2"/>
  <c r="BV594" i="2"/>
  <c r="BV593" i="2"/>
  <c r="BV592" i="2"/>
  <c r="BV591" i="2"/>
  <c r="BV590" i="2"/>
  <c r="BV589" i="2"/>
  <c r="BV588" i="2"/>
  <c r="BV587" i="2"/>
  <c r="BV586" i="2"/>
  <c r="BV585" i="2"/>
  <c r="BV584" i="2"/>
  <c r="BV583" i="2"/>
  <c r="BV582" i="2"/>
  <c r="BV581" i="2"/>
  <c r="BV580" i="2"/>
  <c r="BV579" i="2"/>
  <c r="BV578" i="2"/>
  <c r="BV577" i="2"/>
  <c r="BV576" i="2"/>
  <c r="BV575" i="2"/>
  <c r="BV574" i="2"/>
  <c r="BV573" i="2"/>
  <c r="BV572" i="2"/>
  <c r="BV571" i="2"/>
  <c r="BV570" i="2"/>
  <c r="BV569" i="2"/>
  <c r="BV568" i="2"/>
  <c r="BV567" i="2"/>
  <c r="BV566" i="2"/>
  <c r="BV565" i="2"/>
  <c r="BV564" i="2"/>
  <c r="BV563" i="2"/>
  <c r="BV562" i="2"/>
  <c r="BV561" i="2"/>
  <c r="BV560" i="2"/>
  <c r="BV559" i="2"/>
  <c r="BV558" i="2"/>
  <c r="BV557" i="2"/>
  <c r="BV556" i="2"/>
  <c r="BV555" i="2"/>
  <c r="BV554" i="2"/>
  <c r="BV553" i="2"/>
  <c r="BV552" i="2"/>
  <c r="BV551" i="2"/>
  <c r="BV550" i="2"/>
  <c r="BV549" i="2"/>
  <c r="BV548" i="2"/>
  <c r="BV547" i="2"/>
  <c r="BV546" i="2"/>
  <c r="BV545" i="2"/>
  <c r="BV544" i="2"/>
  <c r="BV543" i="2"/>
  <c r="BV542" i="2"/>
  <c r="BV541" i="2"/>
  <c r="BV540" i="2"/>
  <c r="BV539" i="2"/>
  <c r="BV538" i="2"/>
  <c r="BV537" i="2"/>
  <c r="BV536" i="2"/>
  <c r="BV535" i="2"/>
  <c r="BV534" i="2"/>
  <c r="BV533" i="2"/>
  <c r="BV532" i="2"/>
  <c r="BV531" i="2"/>
  <c r="BV530" i="2"/>
  <c r="BV529" i="2"/>
  <c r="BV528" i="2"/>
  <c r="BV527" i="2"/>
  <c r="BV526" i="2"/>
  <c r="BV525" i="2"/>
  <c r="BV524" i="2"/>
  <c r="BV523" i="2"/>
  <c r="BV522" i="2"/>
  <c r="BV521" i="2"/>
  <c r="BV520" i="2"/>
  <c r="BV519" i="2"/>
  <c r="BV518" i="2"/>
  <c r="BV517" i="2"/>
  <c r="BV516" i="2"/>
  <c r="BV515" i="2"/>
  <c r="BV514" i="2"/>
  <c r="BV513" i="2"/>
  <c r="BV512" i="2"/>
  <c r="BV511" i="2"/>
  <c r="BV510" i="2"/>
  <c r="BV509" i="2"/>
  <c r="BV508" i="2"/>
  <c r="BV507" i="2"/>
  <c r="BV506" i="2"/>
  <c r="BV505" i="2"/>
  <c r="BV504" i="2"/>
  <c r="BV503" i="2"/>
  <c r="BV502" i="2"/>
  <c r="BV501" i="2"/>
  <c r="BV500" i="2"/>
  <c r="BV499" i="2"/>
  <c r="BV498" i="2"/>
  <c r="BV497" i="2"/>
  <c r="BV496" i="2"/>
  <c r="BV495" i="2"/>
  <c r="BV494" i="2"/>
  <c r="BV493" i="2"/>
  <c r="BV492" i="2"/>
  <c r="BV491" i="2"/>
  <c r="BV490" i="2"/>
  <c r="BV489" i="2"/>
  <c r="BV488" i="2"/>
  <c r="BV487" i="2"/>
  <c r="BV486" i="2"/>
  <c r="BV485" i="2"/>
  <c r="BV484" i="2"/>
  <c r="BV483" i="2"/>
  <c r="BV482" i="2"/>
  <c r="BV481" i="2"/>
  <c r="BV480" i="2"/>
  <c r="BV479" i="2"/>
  <c r="BV478" i="2"/>
  <c r="BV477" i="2"/>
  <c r="BV476" i="2"/>
  <c r="BV475" i="2"/>
  <c r="BV474" i="2"/>
  <c r="BV473" i="2"/>
  <c r="BV472" i="2"/>
  <c r="BV471" i="2"/>
  <c r="BV470" i="2"/>
  <c r="BV469" i="2"/>
  <c r="BV468" i="2"/>
  <c r="BV467" i="2"/>
  <c r="BV466" i="2"/>
  <c r="BV465" i="2"/>
  <c r="BV464" i="2"/>
  <c r="BV463" i="2"/>
  <c r="BV462" i="2"/>
  <c r="BV461" i="2"/>
  <c r="BV460" i="2"/>
  <c r="BV459" i="2"/>
  <c r="BV458" i="2"/>
  <c r="BV457" i="2"/>
  <c r="BV456" i="2"/>
  <c r="BV455" i="2"/>
  <c r="BV454" i="2"/>
  <c r="BV453" i="2"/>
  <c r="BV452" i="2"/>
  <c r="BV451" i="2"/>
  <c r="BV450" i="2"/>
  <c r="BV449" i="2"/>
  <c r="BV448" i="2"/>
  <c r="BV447" i="2"/>
  <c r="BV446" i="2"/>
  <c r="BV445" i="2"/>
  <c r="BV444" i="2"/>
  <c r="BV443" i="2"/>
  <c r="BV442" i="2"/>
  <c r="BV441" i="2"/>
  <c r="BV440" i="2"/>
  <c r="BV439" i="2"/>
  <c r="BV438" i="2"/>
  <c r="BV437" i="2"/>
  <c r="BV436" i="2"/>
  <c r="BV435" i="2"/>
  <c r="BV434" i="2"/>
  <c r="BV433" i="2"/>
  <c r="BV432" i="2"/>
  <c r="BV431" i="2"/>
  <c r="BV430" i="2"/>
  <c r="BV429" i="2"/>
  <c r="BV428" i="2"/>
  <c r="BV427" i="2"/>
  <c r="BV426" i="2"/>
  <c r="BV425" i="2"/>
  <c r="BV424" i="2"/>
  <c r="BV423" i="2"/>
  <c r="BV422" i="2"/>
  <c r="BV421" i="2"/>
  <c r="BV420" i="2"/>
  <c r="BV419" i="2"/>
  <c r="BV418" i="2"/>
  <c r="BV417" i="2"/>
  <c r="BV416" i="2"/>
  <c r="BV415" i="2"/>
  <c r="BV414" i="2"/>
  <c r="BV413" i="2"/>
  <c r="BV412" i="2"/>
  <c r="BV411" i="2"/>
  <c r="BV410" i="2"/>
  <c r="BV409" i="2"/>
  <c r="BV408" i="2"/>
  <c r="BV407" i="2"/>
  <c r="BV406" i="2"/>
  <c r="BV405" i="2"/>
  <c r="BV404" i="2"/>
  <c r="BV403" i="2"/>
  <c r="BV402" i="2"/>
  <c r="BV401" i="2"/>
  <c r="BV400" i="2"/>
  <c r="BV399" i="2"/>
  <c r="BV398" i="2"/>
  <c r="BV397" i="2"/>
  <c r="BV396" i="2"/>
  <c r="BV395" i="2"/>
  <c r="BV394" i="2"/>
  <c r="BV393" i="2"/>
  <c r="BV392" i="2"/>
  <c r="BV391" i="2"/>
  <c r="BV390" i="2"/>
  <c r="BV389" i="2"/>
  <c r="BV388" i="2"/>
  <c r="BV387" i="2"/>
  <c r="BV386" i="2"/>
  <c r="BV385" i="2"/>
  <c r="BV384" i="2"/>
  <c r="BV383" i="2"/>
  <c r="BV382" i="2"/>
  <c r="BV381" i="2"/>
  <c r="BV380" i="2"/>
  <c r="BV379" i="2"/>
  <c r="BV378" i="2"/>
  <c r="BV377" i="2"/>
  <c r="BV376" i="2"/>
  <c r="BV375" i="2"/>
  <c r="BV374" i="2"/>
  <c r="BV373" i="2"/>
  <c r="BV372" i="2"/>
  <c r="BV371" i="2"/>
  <c r="BV370" i="2"/>
  <c r="BV369" i="2"/>
  <c r="BV368" i="2"/>
  <c r="BV367" i="2"/>
  <c r="BV366" i="2"/>
  <c r="BV365" i="2"/>
  <c r="BV364" i="2"/>
  <c r="BV363" i="2"/>
  <c r="BV362" i="2"/>
  <c r="BV361" i="2"/>
  <c r="BV360" i="2"/>
  <c r="BV359" i="2"/>
  <c r="BV358" i="2"/>
  <c r="BV357" i="2"/>
  <c r="BV356" i="2"/>
  <c r="BV355" i="2"/>
  <c r="BV354" i="2"/>
  <c r="BV353" i="2"/>
  <c r="BV352" i="2"/>
  <c r="BV351" i="2"/>
  <c r="BV350" i="2"/>
  <c r="BV349" i="2"/>
  <c r="BV348" i="2"/>
  <c r="BV347" i="2"/>
  <c r="BV346" i="2"/>
  <c r="BV345" i="2"/>
  <c r="BV344" i="2"/>
  <c r="BV343" i="2"/>
  <c r="BV342" i="2"/>
  <c r="BV341" i="2"/>
  <c r="BV340" i="2"/>
  <c r="BV339" i="2"/>
  <c r="BV338" i="2"/>
  <c r="BV337" i="2"/>
  <c r="BV336" i="2"/>
  <c r="BV335" i="2"/>
  <c r="BV334" i="2"/>
  <c r="BV333" i="2"/>
  <c r="BV332" i="2"/>
  <c r="BV331" i="2"/>
  <c r="BV330" i="2"/>
  <c r="BV329" i="2"/>
  <c r="BV328" i="2"/>
  <c r="BV327" i="2"/>
  <c r="BV326" i="2"/>
  <c r="BV325" i="2"/>
  <c r="BV324" i="2"/>
  <c r="BV323" i="2"/>
  <c r="BV322" i="2"/>
  <c r="BV321" i="2"/>
  <c r="BV320" i="2"/>
  <c r="BV319" i="2"/>
  <c r="BV318" i="2"/>
  <c r="BV317" i="2"/>
  <c r="BV316" i="2"/>
  <c r="BV315" i="2"/>
  <c r="BV314" i="2"/>
  <c r="BV313" i="2"/>
  <c r="BV312" i="2"/>
  <c r="BV311" i="2"/>
  <c r="BV310" i="2"/>
  <c r="BV309" i="2"/>
  <c r="BV308" i="2"/>
  <c r="BV307" i="2"/>
  <c r="BV306" i="2"/>
  <c r="BV305" i="2"/>
  <c r="BV304" i="2"/>
  <c r="BV303" i="2"/>
  <c r="BV302" i="2"/>
  <c r="BV301" i="2"/>
  <c r="BV300" i="2"/>
  <c r="BV299" i="2"/>
  <c r="BV298" i="2"/>
  <c r="BV297" i="2"/>
  <c r="BV296" i="2"/>
  <c r="BV295" i="2"/>
  <c r="BV294" i="2"/>
  <c r="BV293" i="2"/>
  <c r="BV292" i="2"/>
  <c r="BV291" i="2"/>
  <c r="BV290" i="2"/>
  <c r="BV289" i="2"/>
  <c r="BV288" i="2"/>
  <c r="BV287" i="2"/>
  <c r="BV286" i="2"/>
  <c r="BV285" i="2"/>
  <c r="BV284" i="2"/>
  <c r="BV283" i="2"/>
  <c r="BV282" i="2"/>
  <c r="BV281" i="2"/>
  <c r="BV280" i="2"/>
  <c r="BV279" i="2"/>
  <c r="BV278" i="2"/>
  <c r="BV277" i="2"/>
  <c r="BV276" i="2"/>
  <c r="BV275" i="2"/>
  <c r="BV274" i="2"/>
  <c r="BV273" i="2"/>
  <c r="BV272" i="2"/>
  <c r="BV271" i="2"/>
  <c r="BV270" i="2"/>
  <c r="BV269" i="2"/>
  <c r="BV268" i="2"/>
  <c r="BV267" i="2"/>
  <c r="BV266" i="2"/>
  <c r="BV265" i="2"/>
  <c r="BV264" i="2"/>
  <c r="BV263" i="2"/>
  <c r="BV262" i="2"/>
  <c r="BV261" i="2"/>
  <c r="BV260" i="2"/>
  <c r="BV259" i="2"/>
  <c r="BV258" i="2"/>
  <c r="BV257" i="2"/>
  <c r="BV256" i="2"/>
  <c r="BV255" i="2"/>
  <c r="BV254" i="2"/>
  <c r="BV253" i="2"/>
  <c r="BV252" i="2"/>
  <c r="BV251" i="2"/>
  <c r="BV250" i="2"/>
  <c r="BV249" i="2"/>
  <c r="BV248" i="2"/>
  <c r="BV247" i="2"/>
  <c r="BV246" i="2"/>
  <c r="BV245" i="2"/>
  <c r="BV244" i="2"/>
  <c r="BV243" i="2"/>
  <c r="BV242" i="2"/>
  <c r="BV241" i="2"/>
  <c r="BV240" i="2"/>
  <c r="BV239" i="2"/>
  <c r="BV238" i="2"/>
  <c r="BV237" i="2"/>
  <c r="BV236" i="2"/>
  <c r="BV235" i="2"/>
  <c r="BV234" i="2"/>
  <c r="BV233" i="2"/>
  <c r="BV232" i="2"/>
  <c r="BV231" i="2"/>
  <c r="BV230" i="2"/>
  <c r="BV229" i="2"/>
  <c r="BV228" i="2"/>
  <c r="BV227" i="2"/>
  <c r="BV226" i="2"/>
  <c r="BV225" i="2"/>
  <c r="BV224" i="2"/>
  <c r="BV223" i="2"/>
  <c r="BV222" i="2"/>
  <c r="BV221" i="2"/>
  <c r="BV220" i="2"/>
  <c r="BV219" i="2"/>
  <c r="BV218" i="2"/>
  <c r="BV217" i="2"/>
  <c r="BV216" i="2"/>
  <c r="BV215" i="2"/>
  <c r="BV214" i="2"/>
  <c r="BV213" i="2"/>
  <c r="BV212" i="2"/>
  <c r="BV211" i="2"/>
  <c r="BV210" i="2"/>
  <c r="BV209" i="2"/>
  <c r="BV208" i="2"/>
  <c r="BV207" i="2"/>
  <c r="BV206" i="2"/>
  <c r="BV205" i="2"/>
  <c r="BV204" i="2"/>
  <c r="BV203" i="2"/>
  <c r="BV202" i="2"/>
  <c r="BV201" i="2"/>
  <c r="BV200" i="2"/>
  <c r="BV199" i="2"/>
  <c r="BV198" i="2"/>
  <c r="BV197" i="2"/>
  <c r="BV196" i="2"/>
  <c r="BV195" i="2"/>
  <c r="BV194" i="2"/>
  <c r="BV193" i="2"/>
  <c r="BV192" i="2"/>
  <c r="BV191" i="2"/>
  <c r="BV190" i="2"/>
  <c r="BV189" i="2"/>
  <c r="BV188" i="2"/>
  <c r="BV187" i="2"/>
  <c r="BV186" i="2"/>
  <c r="BV185" i="2"/>
  <c r="BV184" i="2"/>
  <c r="BV183" i="2"/>
  <c r="BV182" i="2"/>
  <c r="BV181" i="2"/>
  <c r="BV180" i="2"/>
  <c r="BV179" i="2"/>
  <c r="BV178" i="2"/>
  <c r="BV177" i="2"/>
  <c r="BV176" i="2"/>
  <c r="BV175" i="2"/>
  <c r="BV174" i="2"/>
  <c r="BV173" i="2"/>
  <c r="BV172" i="2"/>
  <c r="BV171" i="2"/>
  <c r="BV170" i="2"/>
  <c r="BV169" i="2"/>
  <c r="BV168" i="2"/>
  <c r="BV167" i="2"/>
  <c r="BV166" i="2"/>
  <c r="BV165" i="2"/>
  <c r="BV164" i="2"/>
  <c r="BV163" i="2"/>
  <c r="BV162" i="2"/>
  <c r="BV161" i="2"/>
  <c r="BV160" i="2"/>
  <c r="BV159" i="2"/>
  <c r="BV158" i="2"/>
  <c r="BV157" i="2"/>
  <c r="BV156" i="2"/>
  <c r="BV155" i="2"/>
  <c r="BV154" i="2"/>
  <c r="BV153" i="2"/>
  <c r="BV152" i="2"/>
  <c r="BV151" i="2"/>
  <c r="BV150" i="2"/>
  <c r="BV149" i="2"/>
  <c r="BV148" i="2"/>
  <c r="BV147" i="2"/>
  <c r="BV146" i="2"/>
  <c r="BV145" i="2"/>
  <c r="BV144" i="2"/>
  <c r="BV143" i="2"/>
  <c r="BV142" i="2"/>
  <c r="BV141" i="2"/>
  <c r="BV140" i="2"/>
  <c r="BV139" i="2"/>
  <c r="BV138" i="2"/>
  <c r="BV137" i="2"/>
  <c r="BV136" i="2"/>
  <c r="BV135" i="2"/>
  <c r="BV134" i="2"/>
  <c r="BV133" i="2"/>
  <c r="BV132" i="2"/>
  <c r="BV131" i="2"/>
  <c r="BV130" i="2"/>
  <c r="BV129" i="2"/>
  <c r="BV128" i="2"/>
  <c r="BV127" i="2"/>
  <c r="BV126" i="2"/>
  <c r="BV125" i="2"/>
  <c r="BV124" i="2"/>
  <c r="BV123" i="2"/>
  <c r="BV122" i="2"/>
  <c r="BV121" i="2"/>
  <c r="BV120" i="2"/>
  <c r="BV119" i="2"/>
  <c r="BV118" i="2"/>
  <c r="BV117" i="2"/>
  <c r="BV116" i="2"/>
  <c r="BV115" i="2"/>
  <c r="BV114" i="2"/>
  <c r="BV113" i="2"/>
  <c r="BV112" i="2"/>
  <c r="BV111" i="2"/>
  <c r="BV110" i="2"/>
  <c r="BV109" i="2"/>
  <c r="BV108" i="2"/>
  <c r="BV107" i="2"/>
  <c r="BV106" i="2"/>
  <c r="BV105" i="2"/>
  <c r="BV104" i="2"/>
  <c r="BV103" i="2"/>
  <c r="BV102" i="2"/>
  <c r="BV101" i="2"/>
  <c r="BV100" i="2"/>
  <c r="BV99" i="2"/>
  <c r="BV98" i="2"/>
  <c r="BV97" i="2"/>
  <c r="BV96" i="2"/>
  <c r="BV95" i="2"/>
  <c r="BV94" i="2"/>
  <c r="BV93" i="2"/>
  <c r="BV92" i="2"/>
  <c r="BV91" i="2"/>
  <c r="BV90" i="2"/>
  <c r="BV89" i="2"/>
  <c r="BV88" i="2"/>
  <c r="BV87" i="2"/>
  <c r="BV86" i="2"/>
  <c r="BV85" i="2"/>
  <c r="BV84" i="2"/>
  <c r="BV83" i="2"/>
  <c r="BV82" i="2"/>
  <c r="BV81" i="2"/>
  <c r="BV80" i="2"/>
  <c r="BV79" i="2"/>
  <c r="BV78" i="2"/>
  <c r="BV77" i="2"/>
  <c r="BV76" i="2"/>
  <c r="BV13" i="2"/>
  <c r="BV14" i="2"/>
  <c r="BV15" i="2"/>
  <c r="BV16" i="2"/>
  <c r="BV17" i="2"/>
  <c r="BV18" i="2"/>
  <c r="BV19" i="2"/>
  <c r="BV20" i="2"/>
  <c r="BV21" i="2"/>
  <c r="BV22" i="2"/>
  <c r="BV23" i="2"/>
  <c r="BV24" i="2"/>
  <c r="BV25" i="2"/>
  <c r="BV26" i="2"/>
  <c r="BV27" i="2"/>
  <c r="BV28" i="2"/>
  <c r="BV29" i="2"/>
  <c r="BV30" i="2"/>
  <c r="BV31" i="2"/>
  <c r="BV32" i="2"/>
  <c r="BV33" i="2"/>
  <c r="BV34" i="2"/>
  <c r="BV35" i="2"/>
  <c r="BV36" i="2"/>
  <c r="BV37" i="2"/>
  <c r="BV38" i="2"/>
  <c r="BV39" i="2"/>
  <c r="BV40" i="2"/>
  <c r="BV41" i="2"/>
  <c r="BV42" i="2"/>
  <c r="BV43" i="2"/>
  <c r="BV44" i="2"/>
  <c r="BV45" i="2"/>
  <c r="BV46" i="2"/>
  <c r="BV47" i="2"/>
  <c r="BV48" i="2"/>
  <c r="BV49" i="2"/>
  <c r="BV50" i="2"/>
  <c r="BV51" i="2"/>
  <c r="BV52" i="2"/>
  <c r="BV53" i="2"/>
  <c r="BV54" i="2"/>
  <c r="BV55" i="2"/>
  <c r="BV56" i="2"/>
  <c r="BV57" i="2"/>
  <c r="BV58" i="2"/>
  <c r="BV59" i="2"/>
  <c r="BV60" i="2"/>
  <c r="BV61" i="2"/>
  <c r="BV62" i="2"/>
  <c r="BV63" i="2"/>
  <c r="BV64" i="2"/>
  <c r="BV65" i="2"/>
  <c r="BV66" i="2"/>
  <c r="BV67" i="2"/>
  <c r="BV68" i="2"/>
  <c r="BV69" i="2"/>
  <c r="BV70" i="2"/>
  <c r="BV71" i="2"/>
  <c r="BV72" i="2"/>
  <c r="BV73" i="2"/>
  <c r="BV74" i="2"/>
  <c r="BV75" i="2"/>
  <c r="BV12" i="2"/>
  <c r="BV11" i="2"/>
  <c r="BV10" i="2"/>
  <c r="B1" i="3" l="1"/>
  <c r="M47" i="3" l="1"/>
  <c r="J95" i="3"/>
  <c r="J94" i="3"/>
  <c r="J93" i="3"/>
  <c r="J92" i="3"/>
  <c r="J91" i="3"/>
  <c r="H94" i="3"/>
  <c r="I95" i="3"/>
  <c r="I94" i="3"/>
  <c r="I93" i="3"/>
  <c r="I92" i="3"/>
  <c r="I91" i="3"/>
  <c r="H91" i="3"/>
  <c r="H95" i="3"/>
  <c r="G95" i="3"/>
  <c r="G94" i="3"/>
  <c r="G93" i="3"/>
  <c r="G92" i="3"/>
  <c r="G91" i="3"/>
  <c r="E95" i="3"/>
  <c r="E93" i="3"/>
  <c r="E92" i="3"/>
  <c r="E91" i="3"/>
  <c r="H92" i="3"/>
  <c r="F95" i="3"/>
  <c r="F94" i="3"/>
  <c r="F93" i="3"/>
  <c r="F92" i="3"/>
  <c r="F91" i="3"/>
  <c r="E94" i="3"/>
  <c r="H93" i="3"/>
  <c r="B93" i="3"/>
  <c r="D93" i="3"/>
  <c r="B94" i="3"/>
  <c r="C94" i="3"/>
  <c r="D95" i="3"/>
  <c r="B92" i="3"/>
  <c r="C95" i="3"/>
  <c r="D94" i="3"/>
  <c r="B91" i="3"/>
  <c r="D91" i="3"/>
  <c r="D92" i="3"/>
  <c r="C92" i="3"/>
  <c r="C91" i="3"/>
  <c r="C93" i="3"/>
  <c r="B95" i="3"/>
  <c r="L64" i="3"/>
  <c r="B88" i="3"/>
  <c r="S88" i="3"/>
  <c r="M88" i="3"/>
  <c r="G88" i="3"/>
  <c r="E74" i="3"/>
  <c r="O66" i="3"/>
  <c r="X88" i="3"/>
  <c r="R88" i="3"/>
  <c r="L88" i="3"/>
  <c r="F88" i="3"/>
  <c r="E71" i="3"/>
  <c r="L70" i="3"/>
  <c r="W88" i="3"/>
  <c r="Q88" i="3"/>
  <c r="K88" i="3"/>
  <c r="E88" i="3"/>
  <c r="I65" i="3"/>
  <c r="L77" i="3"/>
  <c r="V88" i="3"/>
  <c r="P88" i="3"/>
  <c r="J88" i="3"/>
  <c r="D88" i="3"/>
  <c r="I68" i="3"/>
  <c r="L80" i="3"/>
  <c r="U88" i="3"/>
  <c r="O88" i="3"/>
  <c r="I88" i="3"/>
  <c r="C88" i="3"/>
  <c r="I69" i="3"/>
  <c r="B63" i="3"/>
  <c r="T88" i="3"/>
  <c r="N88" i="3"/>
  <c r="H88" i="3"/>
  <c r="E70" i="3"/>
  <c r="I75" i="3"/>
  <c r="L65" i="3"/>
  <c r="L71" i="3"/>
  <c r="L81" i="3"/>
  <c r="E64" i="3"/>
  <c r="E69" i="3"/>
  <c r="I72" i="3"/>
  <c r="L66" i="3"/>
  <c r="L74" i="3"/>
  <c r="L82" i="3"/>
  <c r="E63" i="3"/>
  <c r="E68" i="3"/>
  <c r="I71" i="3"/>
  <c r="L67" i="3"/>
  <c r="L75" i="3"/>
  <c r="L83" i="3"/>
  <c r="E67" i="3"/>
  <c r="I64" i="3"/>
  <c r="I70" i="3"/>
  <c r="O65" i="3"/>
  <c r="L76" i="3"/>
  <c r="E73" i="3"/>
  <c r="I39" i="3"/>
  <c r="I74" i="3"/>
  <c r="L50" i="3"/>
  <c r="O63" i="3"/>
  <c r="L72" i="3"/>
  <c r="L78" i="3"/>
  <c r="L84" i="3"/>
  <c r="E33" i="3"/>
  <c r="E72" i="3"/>
  <c r="I63" i="3"/>
  <c r="I73" i="3"/>
  <c r="L63" i="3"/>
  <c r="O64" i="3"/>
  <c r="L73" i="3"/>
  <c r="L79" i="3"/>
  <c r="B35" i="3"/>
  <c r="J50" i="3"/>
  <c r="B64" i="3"/>
  <c r="Q51" i="3"/>
  <c r="B65" i="3"/>
  <c r="R51" i="3"/>
  <c r="B66" i="3"/>
  <c r="P33" i="3"/>
  <c r="B67" i="3"/>
  <c r="B46" i="3"/>
  <c r="S36" i="3"/>
  <c r="S43" i="3"/>
  <c r="S35" i="3"/>
  <c r="S48" i="3"/>
  <c r="T35" i="3"/>
  <c r="T33" i="3"/>
  <c r="S46" i="3"/>
  <c r="S38" i="3"/>
  <c r="T39" i="3"/>
  <c r="S34" i="3"/>
  <c r="S45" i="3"/>
  <c r="T37" i="3"/>
  <c r="M13" i="3"/>
  <c r="T36" i="3"/>
  <c r="S33" i="3"/>
  <c r="S47" i="3"/>
  <c r="P34" i="3"/>
  <c r="T34" i="3"/>
  <c r="S37" i="3"/>
  <c r="T38" i="3"/>
  <c r="S39" i="3"/>
  <c r="S44" i="3"/>
  <c r="T28" i="3"/>
  <c r="S13" i="3"/>
  <c r="R13" i="3"/>
  <c r="M36" i="3"/>
  <c r="M35" i="3"/>
  <c r="T29" i="3"/>
  <c r="Q13" i="3"/>
  <c r="M34" i="3"/>
  <c r="T27" i="3"/>
  <c r="M10" i="3"/>
  <c r="M24" i="3"/>
  <c r="M33" i="3"/>
  <c r="T26" i="3"/>
  <c r="P13" i="3"/>
  <c r="M38" i="3"/>
  <c r="T24" i="3"/>
  <c r="T25" i="3"/>
  <c r="T13" i="3"/>
  <c r="M37" i="3"/>
  <c r="T30" i="3"/>
  <c r="P35" i="3"/>
  <c r="P41" i="3"/>
  <c r="P40" i="3"/>
  <c r="P37" i="3"/>
  <c r="P39" i="3"/>
  <c r="P36" i="3"/>
  <c r="P38" i="3"/>
  <c r="M15" i="3"/>
  <c r="M16" i="3"/>
  <c r="M18" i="3"/>
  <c r="M19" i="3"/>
  <c r="M14" i="3"/>
  <c r="M17" i="3"/>
  <c r="R10" i="3"/>
  <c r="Q10" i="3"/>
  <c r="P10" i="3"/>
  <c r="U10" i="3"/>
  <c r="O10" i="3"/>
  <c r="T10" i="3"/>
  <c r="N10" i="3"/>
  <c r="S10" i="3"/>
  <c r="AJ60" i="3"/>
  <c r="AD60" i="3"/>
  <c r="X60" i="3"/>
  <c r="L60" i="3"/>
  <c r="F60" i="3"/>
  <c r="D54" i="3"/>
  <c r="AI60" i="3"/>
  <c r="AC60" i="3"/>
  <c r="W60" i="3"/>
  <c r="Q60" i="3"/>
  <c r="K60" i="3"/>
  <c r="E60" i="3"/>
  <c r="B60" i="3"/>
  <c r="AH60" i="3"/>
  <c r="AB60" i="3"/>
  <c r="V60" i="3"/>
  <c r="P60" i="3"/>
  <c r="J60" i="3"/>
  <c r="D60" i="3"/>
  <c r="AM60" i="3"/>
  <c r="AG60" i="3"/>
  <c r="AA60" i="3"/>
  <c r="U60" i="3"/>
  <c r="O60" i="3"/>
  <c r="I60" i="3"/>
  <c r="C60" i="3"/>
  <c r="AL60" i="3"/>
  <c r="AF60" i="3"/>
  <c r="Z60" i="3"/>
  <c r="T60" i="3"/>
  <c r="N60" i="3"/>
  <c r="H60" i="3"/>
  <c r="AK60" i="3"/>
  <c r="AE60" i="3"/>
  <c r="Y60" i="3"/>
  <c r="S60" i="3"/>
  <c r="M60" i="3"/>
  <c r="G60" i="3"/>
  <c r="R60" i="3"/>
  <c r="G54" i="3"/>
  <c r="F54" i="3"/>
  <c r="E54" i="3"/>
  <c r="P24" i="3"/>
  <c r="Q24" i="3"/>
  <c r="P25" i="3"/>
  <c r="Q25" i="3"/>
  <c r="Q26" i="3"/>
  <c r="M27" i="3"/>
  <c r="M28" i="3"/>
  <c r="N28" i="3"/>
  <c r="N29" i="3"/>
  <c r="O30" i="3"/>
  <c r="M26" i="3"/>
  <c r="N27" i="3"/>
  <c r="O28" i="3"/>
  <c r="P29" i="3"/>
  <c r="Q30" i="3"/>
  <c r="I20" i="3"/>
  <c r="M25" i="3"/>
  <c r="N26" i="3"/>
  <c r="O27" i="3"/>
  <c r="P28" i="3"/>
  <c r="Q29" i="3"/>
  <c r="N24" i="3"/>
  <c r="N25" i="3"/>
  <c r="O26" i="3"/>
  <c r="P27" i="3"/>
  <c r="Q28" i="3"/>
  <c r="M30" i="3"/>
  <c r="O24" i="3"/>
  <c r="O25" i="3"/>
  <c r="P26" i="3"/>
  <c r="Q27" i="3"/>
  <c r="M29" i="3"/>
  <c r="N30" i="3"/>
  <c r="O29" i="3"/>
  <c r="P30" i="3"/>
  <c r="L45" i="3"/>
  <c r="N50" i="3"/>
  <c r="N51" i="3"/>
  <c r="I38" i="3"/>
  <c r="K50" i="3"/>
  <c r="I21" i="3"/>
  <c r="L51" i="3"/>
  <c r="K43" i="3"/>
  <c r="J51" i="3"/>
  <c r="L52" i="3"/>
  <c r="L43" i="3"/>
  <c r="K52" i="3"/>
  <c r="I33" i="3"/>
  <c r="J44" i="3"/>
  <c r="M50" i="3"/>
  <c r="K51" i="3"/>
  <c r="M42" i="3"/>
  <c r="M52" i="3"/>
  <c r="I31" i="3"/>
  <c r="J52" i="3"/>
  <c r="M51" i="3"/>
  <c r="N52" i="3"/>
  <c r="I28" i="3"/>
  <c r="I36" i="3"/>
  <c r="J47" i="3"/>
  <c r="L44" i="3"/>
  <c r="I25" i="3"/>
  <c r="I29" i="3"/>
  <c r="K45" i="3"/>
  <c r="L46" i="3"/>
  <c r="I23" i="3"/>
  <c r="K47" i="3"/>
  <c r="L47" i="3"/>
  <c r="I22" i="3"/>
  <c r="I30" i="3"/>
  <c r="J43" i="3"/>
  <c r="J45" i="3"/>
  <c r="L42" i="3"/>
  <c r="M45" i="3"/>
  <c r="I37" i="3"/>
  <c r="K42" i="3"/>
  <c r="K44" i="3"/>
  <c r="M43" i="3"/>
  <c r="M46" i="3"/>
  <c r="I24" i="3"/>
  <c r="I32" i="3"/>
  <c r="J42" i="3"/>
  <c r="J46" i="3"/>
  <c r="K46" i="3"/>
  <c r="M44" i="3"/>
  <c r="G96" i="3" l="1"/>
  <c r="B96" i="3"/>
  <c r="D96" i="3"/>
  <c r="C96" i="3"/>
  <c r="I96" i="3"/>
  <c r="J96" i="3"/>
  <c r="F96" i="3"/>
  <c r="E96" i="3"/>
  <c r="H96" i="3"/>
  <c r="I12" i="3"/>
  <c r="I11" i="3"/>
  <c r="I13" i="3"/>
  <c r="I10" i="3"/>
  <c r="I14" i="3"/>
  <c r="I15" i="3"/>
  <c r="I16" i="3"/>
  <c r="I17" i="3"/>
  <c r="E13" i="3"/>
  <c r="E38" i="3"/>
  <c r="E37" i="3"/>
  <c r="E36" i="3"/>
  <c r="E35" i="3"/>
  <c r="E34" i="3"/>
  <c r="E10" i="3"/>
  <c r="E16" i="3"/>
  <c r="E15" i="3"/>
  <c r="E14" i="3"/>
  <c r="E12" i="3"/>
  <c r="E11" i="3"/>
  <c r="E30" i="3"/>
  <c r="E29" i="3"/>
  <c r="E28" i="3"/>
  <c r="E27" i="3"/>
  <c r="E26" i="3"/>
  <c r="E25" i="3"/>
  <c r="E22" i="3"/>
  <c r="B31" i="3"/>
  <c r="B25" i="3"/>
  <c r="B19" i="3"/>
  <c r="B13" i="3"/>
  <c r="E21" i="3"/>
  <c r="B36" i="3"/>
  <c r="B30" i="3"/>
  <c r="B24" i="3"/>
  <c r="B18" i="3"/>
  <c r="B12" i="3"/>
  <c r="E20" i="3"/>
  <c r="B29" i="3"/>
  <c r="B23" i="3"/>
  <c r="B17" i="3"/>
  <c r="B11" i="3"/>
  <c r="E19" i="3"/>
  <c r="B34" i="3"/>
  <c r="B28" i="3"/>
  <c r="B22" i="3"/>
  <c r="B16" i="3"/>
  <c r="B10" i="3"/>
  <c r="B33" i="3"/>
  <c r="B27" i="3"/>
  <c r="B21" i="3"/>
  <c r="B15" i="3"/>
  <c r="B32" i="3"/>
  <c r="B26" i="3"/>
  <c r="B20" i="3"/>
  <c r="B14" i="3"/>
  <c r="B42" i="3"/>
  <c r="B45" i="3"/>
  <c r="B5" i="3"/>
  <c r="G51" i="3"/>
  <c r="G50" i="3"/>
  <c r="G44" i="3"/>
  <c r="F48" i="3"/>
  <c r="F42" i="3"/>
  <c r="E46" i="3"/>
  <c r="D50" i="3"/>
  <c r="D44" i="3"/>
  <c r="C49" i="3"/>
  <c r="C43" i="3"/>
  <c r="G42" i="3"/>
  <c r="F47" i="3"/>
  <c r="E51" i="3"/>
  <c r="E45" i="3"/>
  <c r="D49" i="3"/>
  <c r="D43" i="3"/>
  <c r="C48" i="3"/>
  <c r="B51" i="3"/>
  <c r="G43" i="3"/>
  <c r="F46" i="3"/>
  <c r="E50" i="3"/>
  <c r="E44" i="3"/>
  <c r="D48" i="3"/>
  <c r="D42" i="3"/>
  <c r="C47" i="3"/>
  <c r="B50" i="3"/>
  <c r="F51" i="3"/>
  <c r="F45" i="3"/>
  <c r="E49" i="3"/>
  <c r="E43" i="3"/>
  <c r="D47" i="3"/>
  <c r="C42" i="3"/>
  <c r="C46" i="3"/>
  <c r="B49" i="3"/>
  <c r="F50" i="3"/>
  <c r="F44" i="3"/>
  <c r="E48" i="3"/>
  <c r="E42" i="3"/>
  <c r="D46" i="3"/>
  <c r="C51" i="3"/>
  <c r="C45" i="3"/>
  <c r="B48" i="3"/>
  <c r="G45" i="3"/>
  <c r="F49" i="3"/>
  <c r="F43" i="3"/>
  <c r="E47" i="3"/>
  <c r="D51" i="3"/>
  <c r="D45" i="3"/>
  <c r="C50" i="3"/>
  <c r="C44" i="3"/>
  <c r="B47" i="3"/>
  <c r="G49" i="3"/>
  <c r="G48" i="3"/>
  <c r="G47" i="3"/>
  <c r="G46" i="3"/>
  <c r="B43" i="3"/>
  <c r="B44" i="3"/>
  <c r="B6" i="3"/>
  <c r="B7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13" authorId="0" shapeId="0" xr:uid="{2D7D4465-0D45-4F6A-8001-75BFB8B098E4}">
      <text>
        <r>
          <rPr>
            <sz val="10"/>
            <color rgb="FF000000"/>
            <rFont val="Arial"/>
          </rPr>
          <t>Responder updated this value.</t>
        </r>
      </text>
    </comment>
    <comment ref="E15" authorId="0" shapeId="0" xr:uid="{7974C719-98F8-4295-8D1B-8837A5EDCC82}">
      <text>
        <r>
          <rPr>
            <sz val="10"/>
            <color rgb="FF000000"/>
            <rFont val="Arial"/>
          </rPr>
          <t>Responder updated this value.</t>
        </r>
      </text>
    </comment>
    <comment ref="E16" authorId="0" shapeId="0" xr:uid="{C6F0E68F-9FA0-4774-AFC6-AEA547EDB725}">
      <text>
        <r>
          <rPr>
            <sz val="10"/>
            <color rgb="FF000000"/>
            <rFont val="Arial"/>
          </rPr>
          <t>Responder updated this value.</t>
        </r>
      </text>
    </comment>
    <comment ref="I16" authorId="0" shapeId="0" xr:uid="{A2AB04B8-2405-4A52-8E17-EDC49AA80A10}">
      <text>
        <r>
          <rPr>
            <sz val="10"/>
            <color rgb="FF000000"/>
            <rFont val="Arial"/>
          </rPr>
          <t>Responder updated this value.</t>
        </r>
      </text>
    </comment>
    <comment ref="BU16" authorId="0" shapeId="0" xr:uid="{2A276C83-A79D-4311-92FC-7D30D0015777}">
      <text>
        <r>
          <rPr>
            <sz val="10"/>
            <color rgb="FF000000"/>
            <rFont val="Arial"/>
          </rPr>
          <t>Responder updated this value.</t>
        </r>
      </text>
    </comment>
    <comment ref="E23" authorId="0" shapeId="0" xr:uid="{C004E826-17CE-4756-A219-09A29E34B99B}">
      <text>
        <r>
          <rPr>
            <sz val="10"/>
            <color rgb="FF000000"/>
            <rFont val="Arial"/>
          </rPr>
          <t>Responder updated this value.</t>
        </r>
      </text>
    </comment>
    <comment ref="BK35" authorId="0" shapeId="0" xr:uid="{5B719692-02B6-4152-BF5D-2BAC4C79103B}">
      <text>
        <r>
          <rPr>
            <sz val="10"/>
            <color rgb="FF000000"/>
            <rFont val="Arial"/>
          </rPr>
          <t>Responder updated this value.</t>
        </r>
      </text>
    </comment>
    <comment ref="H50" authorId="0" shapeId="0" xr:uid="{F82CEC28-01A0-403E-BBE3-98EC2BA12AC8}">
      <text>
        <r>
          <rPr>
            <sz val="10"/>
            <color rgb="FF000000"/>
            <rFont val="Arial"/>
          </rPr>
          <t>Responder updated this value.</t>
        </r>
      </text>
    </comment>
    <comment ref="E53" authorId="0" shapeId="0" xr:uid="{4ACA10DF-7FC7-48F5-9479-47FB94219849}">
      <text>
        <r>
          <rPr>
            <sz val="10"/>
            <color rgb="FF000000"/>
            <rFont val="Arial"/>
          </rPr>
          <t>Responder updated this value.</t>
        </r>
      </text>
    </comment>
  </commentList>
</comments>
</file>

<file path=xl/sharedStrings.xml><?xml version="1.0" encoding="utf-8"?>
<sst xmlns="http://schemas.openxmlformats.org/spreadsheetml/2006/main" count="336" uniqueCount="285">
  <si>
    <t>Perfil Socioeconomico</t>
  </si>
  <si>
    <t>BASE DE DADOS</t>
  </si>
  <si>
    <t>12. Com quem você mora atualmente?</t>
  </si>
  <si>
    <t>13. Quantas pessoas, incluindo você, moram no seu domicílio?</t>
  </si>
  <si>
    <t>15. Tempo de moradia neste domicílio (Em anos)</t>
  </si>
  <si>
    <t>20. Você tem plano de saúde privado?</t>
  </si>
  <si>
    <t>29. Se você lê jornal, quais os assuntos que mais lê?</t>
  </si>
  <si>
    <t>39. Você já estudou nesta escola?</t>
  </si>
  <si>
    <t>Análise e Desenvolvimento de Sistemas (ADS)</t>
  </si>
  <si>
    <t>Matutino</t>
  </si>
  <si>
    <t>São Paulo (SP)</t>
  </si>
  <si>
    <t>Franca</t>
  </si>
  <si>
    <t>Masculino</t>
  </si>
  <si>
    <t>Solteiro(a)</t>
  </si>
  <si>
    <t>Nenhuma</t>
  </si>
  <si>
    <t>Autismo</t>
  </si>
  <si>
    <t>Nenhum</t>
  </si>
  <si>
    <t>Com pais e(ou) parentes</t>
  </si>
  <si>
    <t>Próprio</t>
  </si>
  <si>
    <t>Até dois salários mínimos</t>
  </si>
  <si>
    <t>Telefone fixo, Internet</t>
  </si>
  <si>
    <t>Sim</t>
  </si>
  <si>
    <t>Sou registrado no comércio</t>
  </si>
  <si>
    <t>Trabalho fora da área do curso</t>
  </si>
  <si>
    <t>Tarde</t>
  </si>
  <si>
    <t>Tenho e é pago integralmente pela empresa</t>
  </si>
  <si>
    <t>Ensino fundamental I (1º ao 5º anos)</t>
  </si>
  <si>
    <t>Ensino fundamental II (6º ao 9º anos)</t>
  </si>
  <si>
    <t>Sempre em escola pública</t>
  </si>
  <si>
    <t>Sempre</t>
  </si>
  <si>
    <t>Para trabalhos profissionais, Para trabalhos escolares, Para entretenimento (músicas, vídeos, redes sociais, etc), Para comunicação por e-mail, Para operações bancárias, Para compras eletrônicas</t>
  </si>
  <si>
    <t>Intermediário</t>
  </si>
  <si>
    <t>Pouco</t>
  </si>
  <si>
    <t>Leio, escrevo e falo razoavelmente</t>
  </si>
  <si>
    <t>Praticamente nula</t>
  </si>
  <si>
    <t>Muito</t>
  </si>
  <si>
    <t>Nunca</t>
  </si>
  <si>
    <t>Não leio jornal</t>
  </si>
  <si>
    <t>Não</t>
  </si>
  <si>
    <t>Evangélica</t>
  </si>
  <si>
    <t>Não fiz</t>
  </si>
  <si>
    <t>Carro</t>
  </si>
  <si>
    <t>Noturno</t>
  </si>
  <si>
    <t>Feminino</t>
  </si>
  <si>
    <t>Não convivo ou não moro com alguém com deficiência</t>
  </si>
  <si>
    <t>Financiado</t>
  </si>
  <si>
    <t>Mais de dois até cinco salários mínimos</t>
  </si>
  <si>
    <t>Internet</t>
  </si>
  <si>
    <t>Sou estagiário</t>
  </si>
  <si>
    <t>Trabalho na área do curso</t>
  </si>
  <si>
    <t>Manhã</t>
  </si>
  <si>
    <t>Não tenho, uso o SUS</t>
  </si>
  <si>
    <t>Ensino Médio</t>
  </si>
  <si>
    <t>Muito Avançado</t>
  </si>
  <si>
    <t>Leio, escrevo e falo bem</t>
  </si>
  <si>
    <t>Leio e escrevo mas não falo</t>
  </si>
  <si>
    <t>Às vezes</t>
  </si>
  <si>
    <t>Todos os assuntos</t>
  </si>
  <si>
    <t>Católica</t>
  </si>
  <si>
    <t>Sim, em uma ETEC</t>
  </si>
  <si>
    <t>Caminhando</t>
  </si>
  <si>
    <t>Casado(a) ou União Estável</t>
  </si>
  <si>
    <t>Com esposa(o) e(ou) filho(s)</t>
  </si>
  <si>
    <t>Sou autônomo</t>
  </si>
  <si>
    <t>Manhã e tarde</t>
  </si>
  <si>
    <t>Tenho e é um plano familiar</t>
  </si>
  <si>
    <t>Notícia locais, Notícias nacionais, Notícias internacionais, Lazer, arte e cultura, Classificados, Moda, Sociais</t>
  </si>
  <si>
    <t>Minas Gerais (MG)</t>
  </si>
  <si>
    <t>Telefone fixo, Internet, Tv por assinatura</t>
  </si>
  <si>
    <t>Não trabalho</t>
  </si>
  <si>
    <t>Tenho e é um plano individual</t>
  </si>
  <si>
    <t>Ensino Superior</t>
  </si>
  <si>
    <t>A maior parte em escola particular paga pela família</t>
  </si>
  <si>
    <t>Em casa</t>
  </si>
  <si>
    <t>Para trabalhos escolares, Para entretenimento (músicas, vídeos, redes sociais, etc), Para comunicação por e-mail, Para operações bancárias, Para compras eletrônicas</t>
  </si>
  <si>
    <t>Moto</t>
  </si>
  <si>
    <t>Para trabalhos escolares, Para entretenimento (músicas, vídeos, redes sociais, etc), Para comunicação por e-mail, Para compras eletrônicas</t>
  </si>
  <si>
    <t>Leio mas não escrevo nem falo</t>
  </si>
  <si>
    <t>Sim, no SENAC</t>
  </si>
  <si>
    <t>Auditiva</t>
  </si>
  <si>
    <t>Um</t>
  </si>
  <si>
    <t>Noite</t>
  </si>
  <si>
    <t>Para trabalhos profissionais, Para trabalhos escolares, Para entretenimento (músicas, vídeos, redes sociais, etc), Para comunicação por e-mail, Para compras eletrônicas</t>
  </si>
  <si>
    <t>Carona</t>
  </si>
  <si>
    <t>Para trabalhos escolares, Para comunicação por e-mail</t>
  </si>
  <si>
    <t>Notícia locais</t>
  </si>
  <si>
    <t>Sim, em outra instituição</t>
  </si>
  <si>
    <t>Mais de dez até vinte salários mínimos</t>
  </si>
  <si>
    <t>Tenho e é pago parcialmente pela empresa</t>
  </si>
  <si>
    <t>Cedido</t>
  </si>
  <si>
    <t>Sou empresário</t>
  </si>
  <si>
    <t>Notícia locais, Classificados</t>
  </si>
  <si>
    <t>Outra</t>
  </si>
  <si>
    <t>Internet, Tv por assinatura</t>
  </si>
  <si>
    <t>Sou registrado em empresa prestadora de serviços</t>
  </si>
  <si>
    <t>Tarde e noite</t>
  </si>
  <si>
    <t>Para trabalhos escolares, Para entretenimento (músicas, vídeos, redes sociais, etc)</t>
  </si>
  <si>
    <t>Notícia locais, Notícias nacionais</t>
  </si>
  <si>
    <t>Espírita</t>
  </si>
  <si>
    <t>Para trabalhos escolares, Para entretenimento (músicas, vídeos, redes sociais, etc), Para compras eletrônicas</t>
  </si>
  <si>
    <t>Ônibus</t>
  </si>
  <si>
    <t>Alugado</t>
  </si>
  <si>
    <t>Prefiro não responder</t>
  </si>
  <si>
    <t>A maior parte em escola pública</t>
  </si>
  <si>
    <t>Em outros lugares</t>
  </si>
  <si>
    <t>Para trabalhos escolares</t>
  </si>
  <si>
    <t>Visual</t>
  </si>
  <si>
    <t>Para trabalhos profissionais, Para trabalhos escolares</t>
  </si>
  <si>
    <t>Para trabalhos escolares, Para entretenimento (músicas, vídeos, redes sociais, etc), Para comunicação por e-mail</t>
  </si>
  <si>
    <t>Ás vezes</t>
  </si>
  <si>
    <t>Bicicleta</t>
  </si>
  <si>
    <t>Regime de turnos</t>
  </si>
  <si>
    <t>Classificados</t>
  </si>
  <si>
    <t>Sou registrado em indústria (calçados/confecções/outras)</t>
  </si>
  <si>
    <t>Internet, Tv por assinatura, Empregada mensalista</t>
  </si>
  <si>
    <t>Notícia locais, Notícias nacionais, Notícias internacionais, Notícias policiais, Moda</t>
  </si>
  <si>
    <t>Sempre em escola particular paga pela família</t>
  </si>
  <si>
    <t>Pernambuco (PE)</t>
  </si>
  <si>
    <t>Com amigos (compartilhando despesas) ou de favor</t>
  </si>
  <si>
    <t>Notícia locais, Notícias nacionais, Notícias internacionais, Lazer, arte e cultura, Notícias policiais, Classificados</t>
  </si>
  <si>
    <t>Notícia locais, Notícias nacionais, Notícias internacionais, Notícias policiais</t>
  </si>
  <si>
    <t>Notícia locais, Esporte, Notícias policiais</t>
  </si>
  <si>
    <t>Patrocínio Paulista</t>
  </si>
  <si>
    <t>Notícias internacionais, Esporte, Lazer, arte e cultura, Classificados</t>
  </si>
  <si>
    <t>Mais de cinco até dez salários mínimos</t>
  </si>
  <si>
    <t>Sim, no SENAI</t>
  </si>
  <si>
    <t>Ipuã</t>
  </si>
  <si>
    <t>Transporte escolar</t>
  </si>
  <si>
    <t>Notícia locais, Notícias nacionais, Notícias internacionais, Esporte, Lazer, arte e cultura, Sociais</t>
  </si>
  <si>
    <t>Notícia locais, Notícias nacionais, Notícias internacionais, Sociais</t>
  </si>
  <si>
    <t>Não sei responder</t>
  </si>
  <si>
    <t>Sozinho</t>
  </si>
  <si>
    <t>Notícia locais, Notícias nacionais, Notícias internacionais, Esporte, Notícias policiais, Sociais</t>
  </si>
  <si>
    <t>Paraná (PR)</t>
  </si>
  <si>
    <t>Três</t>
  </si>
  <si>
    <t>Na escola</t>
  </si>
  <si>
    <t>Notícias nacionais, Notícias internacionais, Classificados</t>
  </si>
  <si>
    <t>Sociais</t>
  </si>
  <si>
    <t>Esporte, Lazer, arte e cultura</t>
  </si>
  <si>
    <t>No trabalho</t>
  </si>
  <si>
    <t>Para trabalhos profissionais</t>
  </si>
  <si>
    <t>Notícias nacionais, Notícias internacionais, Notícias policiais</t>
  </si>
  <si>
    <t>Notícia locais, Notícias nacionais, Notícias internacionais, Lazer, arte e cultura, Notícias policiais, Sociais</t>
  </si>
  <si>
    <t>S. José da Bela Vista</t>
  </si>
  <si>
    <t>Separado(a), desquitado(a), divorciado(a)</t>
  </si>
  <si>
    <t>Dois</t>
  </si>
  <si>
    <t>Notícia locais, Notícias nacionais, Lazer, arte e cultura, Notícias policiais</t>
  </si>
  <si>
    <t>Síndrome de Down</t>
  </si>
  <si>
    <t>Todos os assuntos, Notícia locais, Notícias nacionais, Notícias internacionais, Esporte, Lazer, arte e cultura</t>
  </si>
  <si>
    <t>Ribeirão Preto</t>
  </si>
  <si>
    <t>Ribeirão Corrente</t>
  </si>
  <si>
    <t>Todos os assuntos, Notícias internacionais, Esporte, Lazer, arte e cultura</t>
  </si>
  <si>
    <t>Período</t>
  </si>
  <si>
    <t>Qtde.</t>
  </si>
  <si>
    <t>Total</t>
  </si>
  <si>
    <t>Outro</t>
  </si>
  <si>
    <t>Homem transgênero</t>
  </si>
  <si>
    <t>Mulher Transgênero</t>
  </si>
  <si>
    <t>Windows</t>
  </si>
  <si>
    <t>Aplicativos</t>
  </si>
  <si>
    <t>Linux</t>
  </si>
  <si>
    <t>Planilhas Eletrônicas</t>
  </si>
  <si>
    <t>Apresentadores</t>
  </si>
  <si>
    <t>Sis. De Gestão Empr.</t>
  </si>
  <si>
    <t>Idiomas</t>
  </si>
  <si>
    <t>Inglês</t>
  </si>
  <si>
    <t>Espanho</t>
  </si>
  <si>
    <t>Outro Idioma</t>
  </si>
  <si>
    <t>Televisores</t>
  </si>
  <si>
    <t>Revistas</t>
  </si>
  <si>
    <t>Jornais</t>
  </si>
  <si>
    <t>Rádio</t>
  </si>
  <si>
    <t>Redes Sociais</t>
  </si>
  <si>
    <t>Conversa c. Amigos</t>
  </si>
  <si>
    <t>Aparelhos Eletrônicos</t>
  </si>
  <si>
    <t>Geladeiras</t>
  </si>
  <si>
    <t>Celulares Comuns</t>
  </si>
  <si>
    <t>Micro-Ondas</t>
  </si>
  <si>
    <t>Notebooks</t>
  </si>
  <si>
    <t>Motocicletas</t>
  </si>
  <si>
    <t>Automóveis</t>
  </si>
  <si>
    <t>Smartphones</t>
  </si>
  <si>
    <t>Estados</t>
  </si>
  <si>
    <t>Moradia Estudantil</t>
  </si>
  <si>
    <t>Qual o seu gênero?</t>
  </si>
  <si>
    <t>Homen Transexual</t>
  </si>
  <si>
    <t xml:space="preserve"> Mulher Transexual</t>
  </si>
  <si>
    <t>Física</t>
  </si>
  <si>
    <t>De fala</t>
  </si>
  <si>
    <t>Deficiência</t>
  </si>
  <si>
    <t>Filhos</t>
  </si>
  <si>
    <t>Quatro</t>
  </si>
  <si>
    <t>Mais de quatro</t>
  </si>
  <si>
    <t>Gestão da Produção Industrial (GPI)</t>
  </si>
  <si>
    <t>Nenhuma Escolaridade</t>
  </si>
  <si>
    <t>Pós-Graduação</t>
  </si>
  <si>
    <t>Escolaridade</t>
  </si>
  <si>
    <t>Pai</t>
  </si>
  <si>
    <t>Mãe</t>
  </si>
  <si>
    <t>A maior parte em escola particular com bolsa</t>
  </si>
  <si>
    <t>Vida escolar</t>
  </si>
  <si>
    <t>Sempre em escola particular com bolsa</t>
  </si>
  <si>
    <t>Já estou na Fatec</t>
  </si>
  <si>
    <t>40 Curso Técnico</t>
  </si>
  <si>
    <t>19 Você Trabalha</t>
  </si>
  <si>
    <t>Trabalham</t>
  </si>
  <si>
    <t>Vínculo com o emprego</t>
  </si>
  <si>
    <t>19.2 ---&gt;</t>
  </si>
  <si>
    <t>Sou resgistrado em empresa pública (federal/estadual/municipal)</t>
  </si>
  <si>
    <t>19.3 ------&gt;</t>
  </si>
  <si>
    <t>Área do trabalho</t>
  </si>
  <si>
    <t>19.4 -------&gt;</t>
  </si>
  <si>
    <t>Horário</t>
  </si>
  <si>
    <t>Manhã e noite</t>
  </si>
  <si>
    <t>20 ---</t>
  </si>
  <si>
    <t>23.1---&gt;</t>
  </si>
  <si>
    <t>23.2----&gt;</t>
  </si>
  <si>
    <t>23.3----&gt;</t>
  </si>
  <si>
    <t>Para entrenimento (músicas, vídeos, redes sociais, etc)</t>
  </si>
  <si>
    <t>Para communicação por e-mail</t>
  </si>
  <si>
    <t>Para operações bancárias</t>
  </si>
  <si>
    <t>Para compras eletrônicas</t>
  </si>
  <si>
    <t>Qtde</t>
  </si>
  <si>
    <t>Geral</t>
  </si>
  <si>
    <t xml:space="preserve">Gestão de Recursos Humanos </t>
  </si>
  <si>
    <t>Desenvolvimento de Software Multiplataforma</t>
  </si>
  <si>
    <t>Cursos</t>
  </si>
  <si>
    <t>Indice</t>
  </si>
  <si>
    <t>Maquina de Lavar</t>
  </si>
  <si>
    <t>Vídeo Cassete</t>
  </si>
  <si>
    <t>Mais de 4</t>
  </si>
  <si>
    <t>Acre (AC)</t>
  </si>
  <si>
    <t>Alagoas (AL)</t>
  </si>
  <si>
    <t>Amapá (AP)</t>
  </si>
  <si>
    <t>Amazonas (AM)</t>
  </si>
  <si>
    <t>Bahia (BA)</t>
  </si>
  <si>
    <t>Ceará (CE)</t>
  </si>
  <si>
    <t>Distrito Federal (DF)</t>
  </si>
  <si>
    <t>Espírito Santo (ES)</t>
  </si>
  <si>
    <t>Goiás (GO)</t>
  </si>
  <si>
    <t>Maranhão (MA)</t>
  </si>
  <si>
    <t>Mato Grosso (MT)</t>
  </si>
  <si>
    <t>Mato Grosso do  Sul (MS)</t>
  </si>
  <si>
    <t>Pará (PA)</t>
  </si>
  <si>
    <t>Paraíba (PB)</t>
  </si>
  <si>
    <t>Piauí (PI)</t>
  </si>
  <si>
    <t>Rio de Janeiro (RJ)</t>
  </si>
  <si>
    <t>Rio Grande do Norte (RN)</t>
  </si>
  <si>
    <t>Rio Grande do Sul (RS)</t>
  </si>
  <si>
    <t>Rondônia (RO)</t>
  </si>
  <si>
    <t>Roraima (RR)</t>
  </si>
  <si>
    <t>Santa Catarina (SC)</t>
  </si>
  <si>
    <t>Sergipe (SE)</t>
  </si>
  <si>
    <t>Tocantins (TO)</t>
  </si>
  <si>
    <t>Cidades</t>
  </si>
  <si>
    <t>Outras</t>
  </si>
  <si>
    <t>Estado Civil</t>
  </si>
  <si>
    <t>Viúvo(a)</t>
  </si>
  <si>
    <t>Situação do domic.</t>
  </si>
  <si>
    <t>Arrendado</t>
  </si>
  <si>
    <t>Mensalista</t>
  </si>
  <si>
    <t>10.conv. Pessoa com defic.</t>
  </si>
  <si>
    <t>Mais de 5</t>
  </si>
  <si>
    <t>24.Conhecimento em informática</t>
  </si>
  <si>
    <t>Editores de textos (Word, Writer, etc.)]</t>
  </si>
  <si>
    <t>Meio de Comunicação 27-----</t>
  </si>
  <si>
    <t>16----</t>
  </si>
  <si>
    <t>6----</t>
  </si>
  <si>
    <t>Mais de vinte salários mínimos</t>
  </si>
  <si>
    <t>18.No domicílio tem</t>
  </si>
  <si>
    <t>Telefone fixo</t>
  </si>
  <si>
    <t>Tv por assinatura</t>
  </si>
  <si>
    <t>Empregada mensalista</t>
  </si>
  <si>
    <t>Nenhuma das opções acima</t>
  </si>
  <si>
    <t>33-Religião</t>
  </si>
  <si>
    <t>Protestante</t>
  </si>
  <si>
    <t>Anos</t>
  </si>
  <si>
    <t>Homem Transexual</t>
  </si>
  <si>
    <t>Mulher Transexual</t>
  </si>
  <si>
    <t xml:space="preserve"> De 18 a 25</t>
  </si>
  <si>
    <t>De 26 a 35</t>
  </si>
  <si>
    <t>De 36 a 45</t>
  </si>
  <si>
    <t>De 46 a 60</t>
  </si>
  <si>
    <t>Acima de 60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</si>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</sst>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12" x14ac:knownFonts="1">
    <font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36"/>
      <color theme="0"/>
      <name val="Arial Black"/>
      <family val="2"/>
    </font>
    <font>
      <sz val="10"/>
      <color theme="1"/>
      <name val="Arial"/>
      <family val="2"/>
    </font>
    <font>
      <sz val="11"/>
      <color rgb="FF202124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0"/>
      <color theme="1" tint="4.9989318521683403E-2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0"/>
      <color theme="1"/>
      <name val="Arial"/>
    </font>
    <font>
      <sz val="10"/>
      <name val="Arial"/>
    </font>
    <font>
      <sz val="10"/>
      <color rgb="FF000000"/>
      <name val="Arial"/>
    </font>
  </fonts>
  <fills count="9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0" xfId="0" applyFill="1"/>
    <xf numFmtId="0" fontId="0" fillId="3" borderId="0" xfId="0" applyFill="1"/>
    <xf numFmtId="0" fontId="0" fillId="5" borderId="0" xfId="0" applyFill="1"/>
    <xf numFmtId="0" fontId="3" fillId="0" borderId="0" xfId="0" applyFont="1"/>
    <xf numFmtId="0" fontId="0" fillId="6" borderId="0" xfId="0" applyFill="1"/>
    <xf numFmtId="0" fontId="0" fillId="6" borderId="0" xfId="0" applyFill="1" applyBorder="1"/>
    <xf numFmtId="0" fontId="0" fillId="6" borderId="0" xfId="0" applyFill="1" applyBorder="1" applyAlignment="1"/>
    <xf numFmtId="0" fontId="0" fillId="6" borderId="1" xfId="0" applyFill="1" applyBorder="1" applyAlignment="1">
      <alignment horizontal="center"/>
    </xf>
    <xf numFmtId="0" fontId="0" fillId="4" borderId="0" xfId="0" applyFill="1" applyAlignment="1"/>
    <xf numFmtId="0" fontId="0" fillId="6" borderId="0" xfId="0" applyFill="1" applyBorder="1" applyAlignment="1">
      <alignment vertical="center"/>
    </xf>
    <xf numFmtId="0" fontId="0" fillId="7" borderId="1" xfId="0" applyFill="1" applyBorder="1" applyAlignment="1">
      <alignment horizontal="center"/>
    </xf>
    <xf numFmtId="0" fontId="0" fillId="6" borderId="1" xfId="0" applyFill="1" applyBorder="1"/>
    <xf numFmtId="0" fontId="0" fillId="7" borderId="1" xfId="0" applyFill="1" applyBorder="1" applyAlignment="1">
      <alignment horizontal="left"/>
    </xf>
    <xf numFmtId="0" fontId="0" fillId="7" borderId="1" xfId="0" applyFill="1" applyBorder="1" applyAlignment="1"/>
    <xf numFmtId="0" fontId="0" fillId="7" borderId="1" xfId="0" applyFill="1" applyBorder="1"/>
    <xf numFmtId="0" fontId="0" fillId="0" borderId="1" xfId="0" applyBorder="1"/>
    <xf numFmtId="0" fontId="0" fillId="7" borderId="0" xfId="0" applyFill="1"/>
    <xf numFmtId="0" fontId="0" fillId="7" borderId="0" xfId="0" applyFill="1" applyBorder="1" applyAlignment="1">
      <alignment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quotePrefix="1" applyBorder="1" applyAlignment="1">
      <alignment horizontal="left"/>
    </xf>
    <xf numFmtId="0" fontId="0" fillId="6" borderId="1" xfId="0" quotePrefix="1" applyFill="1" applyBorder="1" applyAlignment="1">
      <alignment horizontal="left"/>
    </xf>
    <xf numFmtId="0" fontId="4" fillId="0" borderId="1" xfId="0" applyFont="1" applyBorder="1"/>
    <xf numFmtId="0" fontId="0" fillId="8" borderId="0" xfId="0" applyFill="1"/>
    <xf numFmtId="0" fontId="5" fillId="3" borderId="0" xfId="0" applyFont="1" applyFill="1"/>
    <xf numFmtId="0" fontId="6" fillId="3" borderId="0" xfId="0" applyFont="1" applyFill="1"/>
    <xf numFmtId="164" fontId="6" fillId="3" borderId="0" xfId="0" applyNumberFormat="1" applyFont="1" applyFill="1" applyAlignment="1"/>
    <xf numFmtId="0" fontId="6" fillId="3" borderId="0" xfId="0" applyFont="1" applyFill="1" applyAlignment="1"/>
    <xf numFmtId="0" fontId="6" fillId="3" borderId="0" xfId="0" quotePrefix="1" applyFont="1" applyFill="1" applyAlignment="1"/>
    <xf numFmtId="0" fontId="0" fillId="0" borderId="2" xfId="0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0" fontId="8" fillId="3" borderId="0" xfId="0" applyFont="1" applyFill="1"/>
    <xf numFmtId="0" fontId="7" fillId="7" borderId="2" xfId="0" applyFont="1" applyFill="1" applyBorder="1"/>
    <xf numFmtId="0" fontId="7" fillId="7" borderId="3" xfId="0" applyFont="1" applyFill="1" applyBorder="1"/>
    <xf numFmtId="0" fontId="7" fillId="7" borderId="3" xfId="0" applyFont="1" applyFill="1" applyBorder="1" applyAlignment="1">
      <alignment horizontal="center"/>
    </xf>
    <xf numFmtId="0" fontId="0" fillId="0" borderId="2" xfId="0" quotePrefix="1" applyBorder="1" applyAlignment="1">
      <alignment horizontal="right"/>
    </xf>
    <xf numFmtId="0" fontId="9" fillId="0" borderId="0" xfId="0" applyFont="1"/>
    <xf numFmtId="164" fontId="10" fillId="0" borderId="0" xfId="0" applyNumberFormat="1" applyFont="1"/>
    <xf numFmtId="14" fontId="9" fillId="0" borderId="0" xfId="0" applyNumberFormat="1" applyFont="1"/>
    <xf numFmtId="164" fontId="9" fillId="0" borderId="0" xfId="0" applyNumberFormat="1" applyFont="1"/>
    <xf numFmtId="0" fontId="10" fillId="0" borderId="0" xfId="0" applyFont="1"/>
    <xf numFmtId="0" fontId="9" fillId="0" borderId="0" xfId="0" quotePrefix="1" applyFont="1"/>
    <xf numFmtId="0" fontId="9" fillId="3" borderId="0" xfId="0" applyFont="1" applyFill="1"/>
    <xf numFmtId="0" fontId="1" fillId="4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6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2.Período: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6729002624671911E-2"/>
          <c:y val="0.15908177236409113"/>
          <c:w val="0.91327099737532813"/>
          <c:h val="0.780893481961629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Análise!$B$4</c:f>
              <c:strCache>
                <c:ptCount val="1"/>
                <c:pt idx="0">
                  <c:v>Qtde.</c:v>
                </c:pt>
              </c:strCache>
            </c:strRef>
          </c:tx>
          <c:spPr>
            <a:pattFill prst="ltUpDiag">
              <a:fgClr>
                <a:schemeClr val="dk1">
                  <a:tint val="885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885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Análise!$A$5:$A$6</c:f>
              <c:strCache>
                <c:ptCount val="2"/>
                <c:pt idx="0">
                  <c:v>Matutino</c:v>
                </c:pt>
                <c:pt idx="1">
                  <c:v>Noturno</c:v>
                </c:pt>
              </c:strCache>
            </c:strRef>
          </c:cat>
          <c:val>
            <c:numRef>
              <c:f>Análise!$B$5:$B$6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6C-4FB4-8724-6B5E54D53EC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851954991"/>
        <c:axId val="1851966639"/>
      </c:barChart>
      <c:catAx>
        <c:axId val="1851954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dk1">
                <a:tint val="88500"/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66639"/>
        <c:crosses val="autoZero"/>
        <c:auto val="1"/>
        <c:lblAlgn val="ctr"/>
        <c:lblOffset val="100"/>
        <c:noMultiLvlLbl val="0"/>
      </c:catAx>
      <c:valAx>
        <c:axId val="1851966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5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0070C0"/>
    </a:solidFill>
    <a:ln w="15875" cap="flat" cmpd="sng" algn="ctr">
      <a:solidFill>
        <a:sysClr val="window" lastClr="FFFFFF"/>
      </a:solidFill>
      <a:round/>
    </a:ln>
    <a:effectLst>
      <a:outerShdw blurRad="50800" dist="38100" dir="2700000" algn="tl" rotWithShape="0">
        <a:prstClr val="black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23.2.Onde</a:t>
            </a:r>
            <a:r>
              <a:rPr lang="pt-BR" baseline="0"/>
              <a:t> utiliza microcomputadores: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Análise!$O$62</c:f>
              <c:strCache>
                <c:ptCount val="1"/>
                <c:pt idx="0">
                  <c:v>Qtde.</c:v>
                </c:pt>
              </c:strCache>
            </c:strRef>
          </c:tx>
          <c:spPr>
            <a:pattFill prst="ltUpDiag">
              <a:fgClr>
                <a:schemeClr val="dk1">
                  <a:tint val="885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885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Análise!$N$63:$N$66</c:f>
              <c:strCache>
                <c:ptCount val="4"/>
                <c:pt idx="0">
                  <c:v>Em casa</c:v>
                </c:pt>
                <c:pt idx="1">
                  <c:v>No trabalho</c:v>
                </c:pt>
                <c:pt idx="2">
                  <c:v>Na escola</c:v>
                </c:pt>
                <c:pt idx="3">
                  <c:v>Em outros lugares</c:v>
                </c:pt>
              </c:strCache>
            </c:strRef>
          </c:cat>
          <c:val>
            <c:numRef>
              <c:f>Análise!$O$63:$O$66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C1-46DF-8755-5FA17CC60D0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851954991"/>
        <c:axId val="1851966639"/>
      </c:barChart>
      <c:catAx>
        <c:axId val="1851954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dk1">
                <a:tint val="88500"/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66639"/>
        <c:crosses val="autoZero"/>
        <c:auto val="1"/>
        <c:lblAlgn val="ctr"/>
        <c:lblOffset val="100"/>
        <c:noMultiLvlLbl val="0"/>
      </c:catAx>
      <c:valAx>
        <c:axId val="1851966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5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0070C0"/>
    </a:solidFill>
    <a:ln w="15875" cap="flat" cmpd="sng" algn="ctr">
      <a:solidFill>
        <a:sysClr val="window" lastClr="FFFFFF"/>
      </a:solidFill>
      <a:round/>
    </a:ln>
    <a:effectLst>
      <a:outerShdw blurRad="50800" dist="38100" dir="2700000" algn="tl" rotWithShape="0">
        <a:prstClr val="black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cap="all" baseline="0">
                <a:effectLst/>
              </a:rPr>
              <a:t>29. Se você lê jornal, quais os assuntos que mais lê: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Análise!$A$147</c:f>
              <c:strCache>
                <c:ptCount val="1"/>
              </c:strCache>
            </c:strRef>
          </c:tx>
          <c:spPr>
            <a:pattFill prst="ltUpDiag">
              <a:fgClr>
                <a:schemeClr val="dk1">
                  <a:tint val="550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550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Análise!$B$146:$X$146</c:f>
              <c:numCache>
                <c:formatCode>General</c:formatCode>
                <c:ptCount val="23"/>
              </c:numCache>
            </c:numRef>
          </c:cat>
          <c:val>
            <c:numRef>
              <c:f>Análise!$B$147:$X$147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3-9A11-4D0A-A5C8-E4A43B8D5717}"/>
            </c:ext>
          </c:extLst>
        </c:ser>
        <c:ser>
          <c:idx val="0"/>
          <c:order val="1"/>
          <c:tx>
            <c:strRef>
              <c:f>Análise!$A$88</c:f>
              <c:strCache>
                <c:ptCount val="1"/>
                <c:pt idx="0">
                  <c:v>29. Se você lê jornal, quais os assuntos que mais lê?</c:v>
                </c:pt>
              </c:strCache>
            </c:strRef>
          </c:tx>
          <c:spPr>
            <a:pattFill prst="ltUpDiag">
              <a:fgClr>
                <a:schemeClr val="dk1">
                  <a:tint val="885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885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Análise!$B$87:$X$87</c:f>
              <c:strCache>
                <c:ptCount val="23"/>
                <c:pt idx="0">
                  <c:v>Não leio jornal</c:v>
                </c:pt>
                <c:pt idx="1">
                  <c:v>Todos os assuntos</c:v>
                </c:pt>
                <c:pt idx="2">
                  <c:v>Notícia locais, Notícias nacionais, Notícias internacionais, Lazer, arte e cultura, Classificados, Moda, Sociais</c:v>
                </c:pt>
                <c:pt idx="3">
                  <c:v>Notícia locais</c:v>
                </c:pt>
                <c:pt idx="4">
                  <c:v>Notícia locais, Classificados</c:v>
                </c:pt>
                <c:pt idx="5">
                  <c:v>Notícia locais, Notícias nacionais</c:v>
                </c:pt>
                <c:pt idx="6">
                  <c:v>Notícia locais, Esporte, Notícias policiais</c:v>
                </c:pt>
                <c:pt idx="7">
                  <c:v>Notícias internacionais, Esporte, Lazer, arte e cultura, Classificados</c:v>
                </c:pt>
                <c:pt idx="8">
                  <c:v>Todos os assuntos, Notícias internacionais, Esporte, Lazer, arte e cultura</c:v>
                </c:pt>
                <c:pt idx="9">
                  <c:v>Notícia locais, Notícias nacionais, Notícias internacionais, Notícias policiais</c:v>
                </c:pt>
                <c:pt idx="10">
                  <c:v>Todos os assuntos, Notícia locais, Notícias nacionais, Notícias internacionais, Esporte, Lazer, arte e cultura</c:v>
                </c:pt>
                <c:pt idx="11">
                  <c:v>Classificados</c:v>
                </c:pt>
                <c:pt idx="12">
                  <c:v>Notícia locais, Notícias nacionais, Notícias internacionais, Notícias policiais, Moda</c:v>
                </c:pt>
                <c:pt idx="13">
                  <c:v>Notícia locais, Notícias nacionais, Notícias internacionais, Lazer, arte e cultura, Notícias policiais, Classificados</c:v>
                </c:pt>
                <c:pt idx="14">
                  <c:v>Notícia locais, Notícias nacionais, Notícias internacionais, Esporte, Lazer, arte e cultura, Sociais</c:v>
                </c:pt>
                <c:pt idx="15">
                  <c:v>Notícia locais, Notícias nacionais, Notícias internacionais, Sociais</c:v>
                </c:pt>
                <c:pt idx="16">
                  <c:v>Notícia locais, Notícias nacionais, Notícias internacionais, Esporte, Notícias policiais, Sociais</c:v>
                </c:pt>
                <c:pt idx="17">
                  <c:v>Notícias nacionais, Notícias internacionais, Classificados</c:v>
                </c:pt>
                <c:pt idx="18">
                  <c:v>Sociais</c:v>
                </c:pt>
                <c:pt idx="19">
                  <c:v>Esporte, Lazer, arte e cultura</c:v>
                </c:pt>
                <c:pt idx="20">
                  <c:v>Notícias nacionais, Notícias internacionais, Notícias policiais</c:v>
                </c:pt>
                <c:pt idx="21">
                  <c:v>Notícia locais, Notícias nacionais, Notícias internacionais, Lazer, arte e cultura, Notícias policiais, Sociais</c:v>
                </c:pt>
                <c:pt idx="22">
                  <c:v>Notícia locais, Notícias nacionais, Lazer, arte e cultura, Notícias policiais</c:v>
                </c:pt>
              </c:strCache>
            </c:strRef>
          </c:cat>
          <c:val>
            <c:numRef>
              <c:f>Análise!$B$88:$X$88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11-4D0A-A5C8-E4A43B8D571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851954991"/>
        <c:axId val="1851966639"/>
      </c:barChart>
      <c:catAx>
        <c:axId val="1851954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dk1">
                <a:tint val="88500"/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66639"/>
        <c:crosses val="autoZero"/>
        <c:auto val="1"/>
        <c:lblAlgn val="ctr"/>
        <c:lblOffset val="100"/>
        <c:noMultiLvlLbl val="0"/>
      </c:catAx>
      <c:valAx>
        <c:axId val="1851966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5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0070C0"/>
    </a:solidFill>
    <a:ln w="15875" cap="flat" cmpd="sng" algn="ctr">
      <a:solidFill>
        <a:sysClr val="window" lastClr="FFFFFF"/>
      </a:solidFill>
      <a:round/>
    </a:ln>
    <a:effectLst>
      <a:outerShdw blurRad="50800" dist="38100" dir="2700000" algn="tl" rotWithShape="0">
        <a:prstClr val="black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17.Nº DE APARELHOS ELETRÔNICOS: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Análise!$B$41</c:f>
              <c:strCache>
                <c:ptCount val="1"/>
                <c:pt idx="0">
                  <c:v>0</c:v>
                </c:pt>
              </c:strCache>
            </c:strRef>
          </c:tx>
          <c:spPr>
            <a:pattFill prst="ltUpDiag">
              <a:fgClr>
                <a:schemeClr val="dk1">
                  <a:tint val="885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885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Análise!$A$42:$A$51</c:f>
              <c:strCache>
                <c:ptCount val="10"/>
                <c:pt idx="0">
                  <c:v>Geladeiras</c:v>
                </c:pt>
                <c:pt idx="1">
                  <c:v>Celulares Comuns</c:v>
                </c:pt>
                <c:pt idx="2">
                  <c:v>Micro-Ondas</c:v>
                </c:pt>
                <c:pt idx="3">
                  <c:v>Notebooks</c:v>
                </c:pt>
                <c:pt idx="4">
                  <c:v>Maquina de Lavar</c:v>
                </c:pt>
                <c:pt idx="5">
                  <c:v>Motocicletas</c:v>
                </c:pt>
                <c:pt idx="6">
                  <c:v>Automóveis</c:v>
                </c:pt>
                <c:pt idx="7">
                  <c:v>Vídeo Cassete</c:v>
                </c:pt>
                <c:pt idx="8">
                  <c:v>Televisores</c:v>
                </c:pt>
                <c:pt idx="9">
                  <c:v>Smartphones</c:v>
                </c:pt>
              </c:strCache>
            </c:strRef>
          </c:cat>
          <c:val>
            <c:numRef>
              <c:f>Análise!$B$42:$B$51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51-4C27-820E-25B85712804A}"/>
            </c:ext>
          </c:extLst>
        </c:ser>
        <c:ser>
          <c:idx val="1"/>
          <c:order val="1"/>
          <c:tx>
            <c:strRef>
              <c:f>Análise!$C$41</c:f>
              <c:strCache>
                <c:ptCount val="1"/>
                <c:pt idx="0">
                  <c:v>1</c:v>
                </c:pt>
              </c:strCache>
            </c:strRef>
          </c:tx>
          <c:spPr>
            <a:pattFill prst="ltUpDiag">
              <a:fgClr>
                <a:schemeClr val="dk1">
                  <a:tint val="550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550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Análise!$A$42:$A$51</c:f>
              <c:strCache>
                <c:ptCount val="10"/>
                <c:pt idx="0">
                  <c:v>Geladeiras</c:v>
                </c:pt>
                <c:pt idx="1">
                  <c:v>Celulares Comuns</c:v>
                </c:pt>
                <c:pt idx="2">
                  <c:v>Micro-Ondas</c:v>
                </c:pt>
                <c:pt idx="3">
                  <c:v>Notebooks</c:v>
                </c:pt>
                <c:pt idx="4">
                  <c:v>Maquina de Lavar</c:v>
                </c:pt>
                <c:pt idx="5">
                  <c:v>Motocicletas</c:v>
                </c:pt>
                <c:pt idx="6">
                  <c:v>Automóveis</c:v>
                </c:pt>
                <c:pt idx="7">
                  <c:v>Vídeo Cassete</c:v>
                </c:pt>
                <c:pt idx="8">
                  <c:v>Televisores</c:v>
                </c:pt>
                <c:pt idx="9">
                  <c:v>Smartphones</c:v>
                </c:pt>
              </c:strCache>
            </c:strRef>
          </c:cat>
          <c:val>
            <c:numRef>
              <c:f>Análise!$C$42:$C$51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51-4C27-820E-25B85712804A}"/>
            </c:ext>
          </c:extLst>
        </c:ser>
        <c:ser>
          <c:idx val="2"/>
          <c:order val="2"/>
          <c:tx>
            <c:strRef>
              <c:f>Análise!$D$41</c:f>
              <c:strCache>
                <c:ptCount val="1"/>
                <c:pt idx="0">
                  <c:v>2</c:v>
                </c:pt>
              </c:strCache>
            </c:strRef>
          </c:tx>
          <c:spPr>
            <a:pattFill prst="ltUpDiag">
              <a:fgClr>
                <a:schemeClr val="dk1">
                  <a:tint val="750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750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Análise!$A$42:$A$51</c:f>
              <c:strCache>
                <c:ptCount val="10"/>
                <c:pt idx="0">
                  <c:v>Geladeiras</c:v>
                </c:pt>
                <c:pt idx="1">
                  <c:v>Celulares Comuns</c:v>
                </c:pt>
                <c:pt idx="2">
                  <c:v>Micro-Ondas</c:v>
                </c:pt>
                <c:pt idx="3">
                  <c:v>Notebooks</c:v>
                </c:pt>
                <c:pt idx="4">
                  <c:v>Maquina de Lavar</c:v>
                </c:pt>
                <c:pt idx="5">
                  <c:v>Motocicletas</c:v>
                </c:pt>
                <c:pt idx="6">
                  <c:v>Automóveis</c:v>
                </c:pt>
                <c:pt idx="7">
                  <c:v>Vídeo Cassete</c:v>
                </c:pt>
                <c:pt idx="8">
                  <c:v>Televisores</c:v>
                </c:pt>
                <c:pt idx="9">
                  <c:v>Smartphones</c:v>
                </c:pt>
              </c:strCache>
            </c:strRef>
          </c:cat>
          <c:val>
            <c:numRef>
              <c:f>Análise!$D$42:$D$51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51-4C27-820E-25B85712804A}"/>
            </c:ext>
          </c:extLst>
        </c:ser>
        <c:ser>
          <c:idx val="3"/>
          <c:order val="3"/>
          <c:tx>
            <c:strRef>
              <c:f>Análise!$E$41</c:f>
              <c:strCache>
                <c:ptCount val="1"/>
                <c:pt idx="0">
                  <c:v>3</c:v>
                </c:pt>
              </c:strCache>
            </c:strRef>
          </c:tx>
          <c:spPr>
            <a:pattFill prst="ltUpDiag">
              <a:fgClr>
                <a:schemeClr val="dk1">
                  <a:tint val="985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985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Análise!$A$42:$A$51</c:f>
              <c:strCache>
                <c:ptCount val="10"/>
                <c:pt idx="0">
                  <c:v>Geladeiras</c:v>
                </c:pt>
                <c:pt idx="1">
                  <c:v>Celulares Comuns</c:v>
                </c:pt>
                <c:pt idx="2">
                  <c:v>Micro-Ondas</c:v>
                </c:pt>
                <c:pt idx="3">
                  <c:v>Notebooks</c:v>
                </c:pt>
                <c:pt idx="4">
                  <c:v>Maquina de Lavar</c:v>
                </c:pt>
                <c:pt idx="5">
                  <c:v>Motocicletas</c:v>
                </c:pt>
                <c:pt idx="6">
                  <c:v>Automóveis</c:v>
                </c:pt>
                <c:pt idx="7">
                  <c:v>Vídeo Cassete</c:v>
                </c:pt>
                <c:pt idx="8">
                  <c:v>Televisores</c:v>
                </c:pt>
                <c:pt idx="9">
                  <c:v>Smartphones</c:v>
                </c:pt>
              </c:strCache>
            </c:strRef>
          </c:cat>
          <c:val>
            <c:numRef>
              <c:f>Análise!$E$42:$E$51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51-4C27-820E-25B85712804A}"/>
            </c:ext>
          </c:extLst>
        </c:ser>
        <c:ser>
          <c:idx val="4"/>
          <c:order val="4"/>
          <c:tx>
            <c:strRef>
              <c:f>Análise!$F$41</c:f>
              <c:strCache>
                <c:ptCount val="1"/>
                <c:pt idx="0">
                  <c:v>4</c:v>
                </c:pt>
              </c:strCache>
            </c:strRef>
          </c:tx>
          <c:spPr>
            <a:pattFill prst="ltUpDiag">
              <a:fgClr>
                <a:schemeClr val="dk1">
                  <a:tint val="300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300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Análise!$A$42:$A$51</c:f>
              <c:strCache>
                <c:ptCount val="10"/>
                <c:pt idx="0">
                  <c:v>Geladeiras</c:v>
                </c:pt>
                <c:pt idx="1">
                  <c:v>Celulares Comuns</c:v>
                </c:pt>
                <c:pt idx="2">
                  <c:v>Micro-Ondas</c:v>
                </c:pt>
                <c:pt idx="3">
                  <c:v>Notebooks</c:v>
                </c:pt>
                <c:pt idx="4">
                  <c:v>Maquina de Lavar</c:v>
                </c:pt>
                <c:pt idx="5">
                  <c:v>Motocicletas</c:v>
                </c:pt>
                <c:pt idx="6">
                  <c:v>Automóveis</c:v>
                </c:pt>
                <c:pt idx="7">
                  <c:v>Vídeo Cassete</c:v>
                </c:pt>
                <c:pt idx="8">
                  <c:v>Televisores</c:v>
                </c:pt>
                <c:pt idx="9">
                  <c:v>Smartphones</c:v>
                </c:pt>
              </c:strCache>
            </c:strRef>
          </c:cat>
          <c:val>
            <c:numRef>
              <c:f>Análise!$F$42:$F$51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51-4C27-820E-25B85712804A}"/>
            </c:ext>
          </c:extLst>
        </c:ser>
        <c:ser>
          <c:idx val="5"/>
          <c:order val="5"/>
          <c:tx>
            <c:strRef>
              <c:f>Análise!$G$41</c:f>
              <c:strCache>
                <c:ptCount val="1"/>
                <c:pt idx="0">
                  <c:v>Mais de 4</c:v>
                </c:pt>
              </c:strCache>
            </c:strRef>
          </c:tx>
          <c:spPr>
            <a:pattFill prst="ltUpDiag">
              <a:fgClr>
                <a:schemeClr val="dk1">
                  <a:tint val="600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600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Análise!$A$42:$A$51</c:f>
              <c:strCache>
                <c:ptCount val="10"/>
                <c:pt idx="0">
                  <c:v>Geladeiras</c:v>
                </c:pt>
                <c:pt idx="1">
                  <c:v>Celulares Comuns</c:v>
                </c:pt>
                <c:pt idx="2">
                  <c:v>Micro-Ondas</c:v>
                </c:pt>
                <c:pt idx="3">
                  <c:v>Notebooks</c:v>
                </c:pt>
                <c:pt idx="4">
                  <c:v>Maquina de Lavar</c:v>
                </c:pt>
                <c:pt idx="5">
                  <c:v>Motocicletas</c:v>
                </c:pt>
                <c:pt idx="6">
                  <c:v>Automóveis</c:v>
                </c:pt>
                <c:pt idx="7">
                  <c:v>Vídeo Cassete</c:v>
                </c:pt>
                <c:pt idx="8">
                  <c:v>Televisores</c:v>
                </c:pt>
                <c:pt idx="9">
                  <c:v>Smartphones</c:v>
                </c:pt>
              </c:strCache>
            </c:strRef>
          </c:cat>
          <c:val>
            <c:numRef>
              <c:f>Análise!$G$42:$G$51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51-4C27-820E-25B85712804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851954991"/>
        <c:axId val="1851966639"/>
      </c:barChart>
      <c:catAx>
        <c:axId val="1851954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dk1">
                <a:tint val="88500"/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66639"/>
        <c:crosses val="autoZero"/>
        <c:auto val="1"/>
        <c:lblAlgn val="ctr"/>
        <c:lblOffset val="100"/>
        <c:noMultiLvlLbl val="0"/>
      </c:catAx>
      <c:valAx>
        <c:axId val="1851966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54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rgbClr val="0070C0"/>
    </a:solidFill>
    <a:ln w="15875" cap="flat" cmpd="sng" algn="ctr">
      <a:solidFill>
        <a:sysClr val="window" lastClr="FFFFFF"/>
      </a:solidFill>
      <a:round/>
    </a:ln>
    <a:effectLst>
      <a:outerShdw blurRad="50800" dist="38100" dir="2700000" algn="tl" rotWithShape="0">
        <a:prstClr val="black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4.Estado: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Análise!$B$9</c:f>
              <c:strCache>
                <c:ptCount val="1"/>
                <c:pt idx="0">
                  <c:v>Qtde.</c:v>
                </c:pt>
              </c:strCache>
            </c:strRef>
          </c:tx>
          <c:spPr>
            <a:pattFill prst="ltUpDiag">
              <a:fgClr>
                <a:schemeClr val="dk1">
                  <a:tint val="885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885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Análise!$A$10:$A$36</c:f>
              <c:strCache>
                <c:ptCount val="27"/>
                <c:pt idx="0">
                  <c:v>Acre (AC)</c:v>
                </c:pt>
                <c:pt idx="1">
                  <c:v>Alagoas (AL)</c:v>
                </c:pt>
                <c:pt idx="2">
                  <c:v>Amapá (AP)</c:v>
                </c:pt>
                <c:pt idx="3">
                  <c:v>Amazonas (AM)</c:v>
                </c:pt>
                <c:pt idx="4">
                  <c:v>Bahia (BA)</c:v>
                </c:pt>
                <c:pt idx="5">
                  <c:v>Ceará (CE)</c:v>
                </c:pt>
                <c:pt idx="6">
                  <c:v>Distrito Federal (DF)</c:v>
                </c:pt>
                <c:pt idx="7">
                  <c:v>Espírito Santo (ES)</c:v>
                </c:pt>
                <c:pt idx="8">
                  <c:v>Goiás (GO)</c:v>
                </c:pt>
                <c:pt idx="9">
                  <c:v>Maranhão (MA)</c:v>
                </c:pt>
                <c:pt idx="10">
                  <c:v>Mato Grosso (MT)</c:v>
                </c:pt>
                <c:pt idx="11">
                  <c:v>Mato Grosso do  Sul (MS)</c:v>
                </c:pt>
                <c:pt idx="12">
                  <c:v>Minas Gerais (MG)</c:v>
                </c:pt>
                <c:pt idx="13">
                  <c:v>Paraná (PR)</c:v>
                </c:pt>
                <c:pt idx="14">
                  <c:v>Pará (PA)</c:v>
                </c:pt>
                <c:pt idx="15">
                  <c:v>Paraíba (PB)</c:v>
                </c:pt>
                <c:pt idx="16">
                  <c:v>Pernambuco (PE)</c:v>
                </c:pt>
                <c:pt idx="17">
                  <c:v>Piauí (PI)</c:v>
                </c:pt>
                <c:pt idx="18">
                  <c:v>Rio de Janeiro (RJ)</c:v>
                </c:pt>
                <c:pt idx="19">
                  <c:v>Rio Grande do Norte (RN)</c:v>
                </c:pt>
                <c:pt idx="20">
                  <c:v>Rio Grande do Sul (RS)</c:v>
                </c:pt>
                <c:pt idx="21">
                  <c:v>Rondônia (RO)</c:v>
                </c:pt>
                <c:pt idx="22">
                  <c:v>Roraima (RR)</c:v>
                </c:pt>
                <c:pt idx="23">
                  <c:v>Santa Catarina (SC)</c:v>
                </c:pt>
                <c:pt idx="24">
                  <c:v>Sergipe (SE)</c:v>
                </c:pt>
                <c:pt idx="25">
                  <c:v>São Paulo (SP)</c:v>
                </c:pt>
                <c:pt idx="26">
                  <c:v>Tocantins (TO)</c:v>
                </c:pt>
              </c:strCache>
            </c:strRef>
          </c:cat>
          <c:val>
            <c:numRef>
              <c:f>Análise!$B$10:$B$36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50-4DF9-A187-74B0616C7D6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851954991"/>
        <c:axId val="1851966639"/>
      </c:barChart>
      <c:catAx>
        <c:axId val="18519549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3175" cap="flat" cmpd="sng" algn="ctr">
            <a:solidFill>
              <a:schemeClr val="dk1">
                <a:tint val="88500"/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66639"/>
        <c:crosses val="autoZero"/>
        <c:auto val="1"/>
        <c:lblAlgn val="ctr"/>
        <c:lblOffset val="100"/>
        <c:noMultiLvlLbl val="0"/>
      </c:catAx>
      <c:valAx>
        <c:axId val="1851966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5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0070C0"/>
    </a:solidFill>
    <a:ln w="15875" cap="flat" cmpd="sng" algn="ctr">
      <a:solidFill>
        <a:sysClr val="window" lastClr="FFFFFF"/>
      </a:solidFill>
      <a:round/>
    </a:ln>
    <a:effectLst>
      <a:outerShdw blurRad="50800" dist="38100" dir="2700000" algn="tl" rotWithShape="0">
        <a:prstClr val="black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9.Necessidade Especial: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Análise!$E$24</c:f>
              <c:strCache>
                <c:ptCount val="1"/>
                <c:pt idx="0">
                  <c:v>Qtde.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C338-4768-A188-50F3F2C27BF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C338-4768-A188-50F3F2C27BF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C338-4768-A188-50F3F2C27BF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C338-4768-A188-50F3F2C27BF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C338-4768-A188-50F3F2C27BF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B-C338-4768-A188-50F3F2C27B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Análise!$D$25:$D$30</c:f>
              <c:strCache>
                <c:ptCount val="6"/>
                <c:pt idx="0">
                  <c:v>Nenhuma</c:v>
                </c:pt>
                <c:pt idx="1">
                  <c:v>Visual</c:v>
                </c:pt>
                <c:pt idx="2">
                  <c:v>Física</c:v>
                </c:pt>
                <c:pt idx="3">
                  <c:v>Auditiva</c:v>
                </c:pt>
                <c:pt idx="4">
                  <c:v>Autismo</c:v>
                </c:pt>
                <c:pt idx="5">
                  <c:v>De fala</c:v>
                </c:pt>
              </c:strCache>
            </c:strRef>
          </c:cat>
          <c:val>
            <c:numRef>
              <c:f>Análise!$E$25:$E$30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338-4768-A188-50F3F2C27BF7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rgbClr val="0070C0"/>
    </a:solidFill>
    <a:ln w="15875">
      <a:solidFill>
        <a:sysClr val="window" lastClr="FFFFFF"/>
      </a:solidFill>
    </a:ln>
    <a:effectLst>
      <a:outerShdw blurRad="50800" dist="38100" dir="2700000" algn="tl" rotWithShape="0">
        <a:prstClr val="black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8.estado civil: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Análise!$E$18</c:f>
              <c:strCache>
                <c:ptCount val="1"/>
                <c:pt idx="0">
                  <c:v>Qtde.</c:v>
                </c:pt>
              </c:strCache>
            </c:strRef>
          </c:tx>
          <c:spPr>
            <a:pattFill prst="ltUpDiag">
              <a:fgClr>
                <a:schemeClr val="dk1">
                  <a:tint val="885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885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Análise!$D$19:$D$22</c:f>
              <c:strCache>
                <c:ptCount val="4"/>
                <c:pt idx="0">
                  <c:v>Solteiro(a)</c:v>
                </c:pt>
                <c:pt idx="1">
                  <c:v>Casado(a) ou União Estável</c:v>
                </c:pt>
                <c:pt idx="2">
                  <c:v>Separado(a), desquitado(a), divorciado(a)</c:v>
                </c:pt>
                <c:pt idx="3">
                  <c:v>Viúvo(a)</c:v>
                </c:pt>
              </c:strCache>
            </c:strRef>
          </c:cat>
          <c:val>
            <c:numRef>
              <c:f>Análise!$E$19:$E$22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D6-408B-89AA-4A0957067AF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851954991"/>
        <c:axId val="1851966639"/>
      </c:barChart>
      <c:catAx>
        <c:axId val="1851954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dk1">
                <a:tint val="88500"/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66639"/>
        <c:crosses val="autoZero"/>
        <c:auto val="1"/>
        <c:lblAlgn val="ctr"/>
        <c:lblOffset val="100"/>
        <c:noMultiLvlLbl val="0"/>
      </c:catAx>
      <c:valAx>
        <c:axId val="1851966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5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0070C0"/>
    </a:solidFill>
    <a:ln w="15875" cap="flat" cmpd="sng" algn="ctr">
      <a:solidFill>
        <a:sysClr val="window" lastClr="FFFFFF"/>
      </a:solidFill>
      <a:round/>
    </a:ln>
    <a:effectLst>
      <a:outerShdw blurRad="50800" dist="38100" dir="2700000" algn="tl" rotWithShape="0">
        <a:sysClr val="windowText" lastClr="000000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5.cidade: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Análise!$E$9</c:f>
              <c:strCache>
                <c:ptCount val="1"/>
                <c:pt idx="0">
                  <c:v>Qtde.</c:v>
                </c:pt>
              </c:strCache>
            </c:strRef>
          </c:tx>
          <c:spPr>
            <a:pattFill prst="ltUpDiag">
              <a:fgClr>
                <a:schemeClr val="dk1">
                  <a:tint val="885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885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Análise!$D$10:$D$16</c:f>
              <c:strCache>
                <c:ptCount val="7"/>
                <c:pt idx="0">
                  <c:v>Franca</c:v>
                </c:pt>
                <c:pt idx="1">
                  <c:v>Patrocínio Paulista</c:v>
                </c:pt>
                <c:pt idx="2">
                  <c:v>Ipuã</c:v>
                </c:pt>
                <c:pt idx="3">
                  <c:v>S. José da Bela Vista</c:v>
                </c:pt>
                <c:pt idx="4">
                  <c:v>Ribeirão Preto</c:v>
                </c:pt>
                <c:pt idx="5">
                  <c:v>Ribeirão Corrente</c:v>
                </c:pt>
                <c:pt idx="6">
                  <c:v>Outras</c:v>
                </c:pt>
              </c:strCache>
            </c:strRef>
          </c:cat>
          <c:val>
            <c:numRef>
              <c:f>Análise!$E$10:$E$16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4-4F5E-9BA7-F4AE726E31D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851954991"/>
        <c:axId val="1851966639"/>
      </c:barChart>
      <c:catAx>
        <c:axId val="1851954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dk1">
                <a:tint val="88500"/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66639"/>
        <c:crosses val="autoZero"/>
        <c:auto val="1"/>
        <c:lblAlgn val="ctr"/>
        <c:lblOffset val="100"/>
        <c:noMultiLvlLbl val="0"/>
      </c:catAx>
      <c:valAx>
        <c:axId val="1851966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5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0070C0"/>
    </a:solidFill>
    <a:ln w="15875" cap="flat" cmpd="sng" algn="ctr">
      <a:solidFill>
        <a:sysClr val="window" lastClr="FFFFFF"/>
      </a:solidFill>
      <a:round/>
    </a:ln>
    <a:effectLst>
      <a:outerShdw blurRad="50800" dist="38100" dir="2700000" algn="tl" rotWithShape="0">
        <a:sysClr val="windowText" lastClr="000000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14.Situação do</a:t>
            </a:r>
            <a:r>
              <a:rPr lang="pt-BR" baseline="0"/>
              <a:t> Domicílio: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Análise!$E$32</c:f>
              <c:strCache>
                <c:ptCount val="1"/>
                <c:pt idx="0">
                  <c:v>Qtde.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9E86-4790-BFA4-E4504C7CCD1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9E86-4790-BFA4-E4504C7CCD1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9E86-4790-BFA4-E4504C7CCD1B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9E86-4790-BFA4-E4504C7CCD1B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9E86-4790-BFA4-E4504C7CCD1B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B-9E86-4790-BFA4-E4504C7CCD1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Análise!$D$33:$D$38</c:f>
              <c:strCache>
                <c:ptCount val="6"/>
                <c:pt idx="0">
                  <c:v>Próprio</c:v>
                </c:pt>
                <c:pt idx="1">
                  <c:v>Alugado</c:v>
                </c:pt>
                <c:pt idx="2">
                  <c:v>Cedido</c:v>
                </c:pt>
                <c:pt idx="3">
                  <c:v>Financiado</c:v>
                </c:pt>
                <c:pt idx="4">
                  <c:v>Arrendado</c:v>
                </c:pt>
                <c:pt idx="5">
                  <c:v>Mensalista</c:v>
                </c:pt>
              </c:strCache>
            </c:strRef>
          </c:cat>
          <c:val>
            <c:numRef>
              <c:f>Análise!$E$33:$E$38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E86-4790-BFA4-E4504C7CCD1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rgbClr val="0070C0"/>
    </a:solidFill>
    <a:ln w="15875">
      <a:solidFill>
        <a:sysClr val="window" lastClr="FFFFFF"/>
      </a:solidFill>
    </a:ln>
    <a:effectLst>
      <a:outerShdw blurRad="50800" dist="38100" dir="2700000" algn="tl" rotWithShape="0">
        <a:prstClr val="black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cap="all" baseline="0">
                <a:effectLst/>
              </a:rPr>
              <a:t>10.Convive com alguma pessoa com deficiência: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Análise!$I$9</c:f>
              <c:strCache>
                <c:ptCount val="1"/>
                <c:pt idx="0">
                  <c:v>Qtde.</c:v>
                </c:pt>
              </c:strCache>
            </c:strRef>
          </c:tx>
          <c:spPr>
            <a:pattFill prst="ltUpDiag">
              <a:fgClr>
                <a:schemeClr val="dk1">
                  <a:tint val="885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885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Análise!$H$10:$H$17</c:f>
              <c:strCache>
                <c:ptCount val="8"/>
                <c:pt idx="0">
                  <c:v>Deficiência</c:v>
                </c:pt>
                <c:pt idx="1">
                  <c:v>Visual</c:v>
                </c:pt>
                <c:pt idx="2">
                  <c:v>Física</c:v>
                </c:pt>
                <c:pt idx="3">
                  <c:v>Auditiva</c:v>
                </c:pt>
                <c:pt idx="4">
                  <c:v>Autismo</c:v>
                </c:pt>
                <c:pt idx="5">
                  <c:v>De fala</c:v>
                </c:pt>
                <c:pt idx="6">
                  <c:v>Síndrome de Down</c:v>
                </c:pt>
                <c:pt idx="7">
                  <c:v>Não convivo ou não moro com alguém com deficiência</c:v>
                </c:pt>
              </c:strCache>
            </c:strRef>
          </c:cat>
          <c:val>
            <c:numRef>
              <c:f>Análise!$I$10:$I$17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E-4BA1-B722-CD4DD83F8B3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851954991"/>
        <c:axId val="1851966639"/>
      </c:barChart>
      <c:catAx>
        <c:axId val="1851954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dk1">
                <a:tint val="88500"/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66639"/>
        <c:crosses val="autoZero"/>
        <c:auto val="1"/>
        <c:lblAlgn val="ctr"/>
        <c:lblOffset val="100"/>
        <c:noMultiLvlLbl val="0"/>
      </c:catAx>
      <c:valAx>
        <c:axId val="1851966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5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0070C0"/>
    </a:solidFill>
    <a:ln w="15875" cap="flat" cmpd="sng" algn="ctr">
      <a:solidFill>
        <a:sysClr val="window" lastClr="FFFFFF"/>
      </a:solidFill>
      <a:round/>
    </a:ln>
    <a:effectLst>
      <a:outerShdw blurRad="50800" dist="38100" dir="2700000" algn="tl" rotWithShape="0">
        <a:sysClr val="windowText" lastClr="000000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1.Curso: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Análise!$A$7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dk1">
                  <a:tint val="885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885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Análise!$B$1</c:f>
            </c:multiLvlStrRef>
          </c:cat>
          <c:val>
            <c:numRef>
              <c:f>Análise!$B$7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F4-4B68-8C20-FCE63D6EC2C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851954991"/>
        <c:axId val="1851966639"/>
      </c:barChart>
      <c:catAx>
        <c:axId val="1851954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dk1">
                <a:tint val="88500"/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66639"/>
        <c:crosses val="autoZero"/>
        <c:auto val="1"/>
        <c:lblAlgn val="ctr"/>
        <c:lblOffset val="100"/>
        <c:noMultiLvlLbl val="0"/>
      </c:catAx>
      <c:valAx>
        <c:axId val="1851966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5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0070C0"/>
    </a:solidFill>
    <a:ln w="15875" cap="flat" cmpd="sng" algn="ctr">
      <a:solidFill>
        <a:sysClr val="window" lastClr="FFFFFF"/>
      </a:solidFill>
      <a:round/>
    </a:ln>
    <a:effectLst>
      <a:outerShdw blurRad="50800" dist="38100" dir="2700000" algn="tl" rotWithShape="0">
        <a:prstClr val="black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11.Filhos</a:t>
            </a:r>
            <a:r>
              <a:rPr lang="pt-BR" baseline="0"/>
              <a:t> por aluno: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Análise!$I$19</c:f>
              <c:strCache>
                <c:ptCount val="1"/>
                <c:pt idx="0">
                  <c:v>Qtde.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4F81BD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Análise!$H$20:$H$25</c:f>
              <c:strCache>
                <c:ptCount val="6"/>
                <c:pt idx="0">
                  <c:v>Nenhum</c:v>
                </c:pt>
                <c:pt idx="1">
                  <c:v>Um</c:v>
                </c:pt>
                <c:pt idx="2">
                  <c:v>Dois</c:v>
                </c:pt>
                <c:pt idx="3">
                  <c:v>Três</c:v>
                </c:pt>
                <c:pt idx="4">
                  <c:v>Quatro</c:v>
                </c:pt>
                <c:pt idx="5">
                  <c:v>Mais de quatro</c:v>
                </c:pt>
              </c:strCache>
            </c:strRef>
          </c:cat>
          <c:val>
            <c:numRef>
              <c:f>Análise!$I$20:$I$25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CC-4F11-A8F6-A06ACBEC23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902508239"/>
        <c:axId val="1902504911"/>
      </c:barChart>
      <c:catAx>
        <c:axId val="19025082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02504911"/>
        <c:crosses val="autoZero"/>
        <c:auto val="1"/>
        <c:lblAlgn val="ctr"/>
        <c:lblOffset val="100"/>
        <c:noMultiLvlLbl val="0"/>
      </c:catAx>
      <c:valAx>
        <c:axId val="1902504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02508239"/>
        <c:crosses val="autoZero"/>
        <c:crossBetween val="between"/>
      </c:valAx>
      <c:spPr>
        <a:solidFill>
          <a:srgbClr val="0070C0"/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0070C0"/>
    </a:solidFill>
    <a:ln w="16002" cap="flat" cmpd="sng" algn="ctr">
      <a:solidFill>
        <a:sysClr val="window" lastClr="FFFFFF"/>
      </a:solidFill>
      <a:round/>
    </a:ln>
    <a:effectLst>
      <a:outerShdw blurRad="50800" dist="38100" dir="2700000" algn="tl" rotWithShape="0">
        <a:prstClr val="black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24.Conhecimento</a:t>
            </a:r>
            <a:r>
              <a:rPr lang="pt-BR" baseline="0"/>
              <a:t> em informática: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Análise!$I$35</c:f>
              <c:strCache>
                <c:ptCount val="1"/>
                <c:pt idx="0">
                  <c:v>Qtde.</c:v>
                </c:pt>
              </c:strCache>
            </c:strRef>
          </c:tx>
          <c:spPr>
            <a:pattFill prst="ltUpDiag">
              <a:fgClr>
                <a:schemeClr val="dk1">
                  <a:tint val="885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885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Análise!$H$36:$H$39</c:f>
              <c:strCache>
                <c:ptCount val="4"/>
                <c:pt idx="0">
                  <c:v>Nenhum</c:v>
                </c:pt>
                <c:pt idx="1">
                  <c:v>Pouco</c:v>
                </c:pt>
                <c:pt idx="2">
                  <c:v>Intermediário</c:v>
                </c:pt>
                <c:pt idx="3">
                  <c:v>Muito Avançado</c:v>
                </c:pt>
              </c:strCache>
            </c:strRef>
          </c:cat>
          <c:val>
            <c:numRef>
              <c:f>Análise!$I$36:$I$39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07-4E39-981E-84097AF58C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851954991"/>
        <c:axId val="1851966639"/>
      </c:barChart>
      <c:catAx>
        <c:axId val="1851954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dk1">
                <a:tint val="88500"/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66639"/>
        <c:crosses val="autoZero"/>
        <c:auto val="1"/>
        <c:lblAlgn val="ctr"/>
        <c:lblOffset val="100"/>
        <c:noMultiLvlLbl val="0"/>
      </c:catAx>
      <c:valAx>
        <c:axId val="1851966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5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0070C0"/>
    </a:solidFill>
    <a:ln w="15875" cap="flat" cmpd="sng" algn="ctr">
      <a:solidFill>
        <a:sysClr val="window" lastClr="FFFFFF"/>
      </a:solidFill>
      <a:round/>
    </a:ln>
    <a:effectLst>
      <a:outerShdw blurRad="50800" dist="38100" dir="2700000" algn="tl" rotWithShape="0">
        <a:sysClr val="windowText" lastClr="000000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25.cONHECIMENTO EM RELAÇÃO AOS APLICATIVOS: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Análise!$J$41</c:f>
              <c:strCache>
                <c:ptCount val="1"/>
                <c:pt idx="0">
                  <c:v>Nenhum</c:v>
                </c:pt>
              </c:strCache>
            </c:strRef>
          </c:tx>
          <c:spPr>
            <a:pattFill prst="ltUpDiag">
              <a:fgClr>
                <a:schemeClr val="dk1">
                  <a:tint val="885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885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Análise!$I$42:$I$47</c:f>
              <c:strCache>
                <c:ptCount val="6"/>
                <c:pt idx="0">
                  <c:v>Windows</c:v>
                </c:pt>
                <c:pt idx="1">
                  <c:v>Linux</c:v>
                </c:pt>
                <c:pt idx="2">
                  <c:v>Editores de textos (Word, Writer, etc.)]</c:v>
                </c:pt>
                <c:pt idx="3">
                  <c:v>Planilhas Eletrônicas</c:v>
                </c:pt>
                <c:pt idx="4">
                  <c:v>Apresentadores</c:v>
                </c:pt>
                <c:pt idx="5">
                  <c:v>Sis. De Gestão Empr.</c:v>
                </c:pt>
              </c:strCache>
            </c:strRef>
          </c:cat>
          <c:val>
            <c:numRef>
              <c:f>Análise!$J$42:$J$47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C1-432D-96AA-A3692309C0E4}"/>
            </c:ext>
          </c:extLst>
        </c:ser>
        <c:ser>
          <c:idx val="1"/>
          <c:order val="1"/>
          <c:tx>
            <c:strRef>
              <c:f>Análise!$K$41</c:f>
              <c:strCache>
                <c:ptCount val="1"/>
                <c:pt idx="0">
                  <c:v>Pouco</c:v>
                </c:pt>
              </c:strCache>
            </c:strRef>
          </c:tx>
          <c:spPr>
            <a:pattFill prst="ltUpDiag">
              <a:fgClr>
                <a:schemeClr val="dk1">
                  <a:tint val="550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550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Análise!$I$42:$I$47</c:f>
              <c:strCache>
                <c:ptCount val="6"/>
                <c:pt idx="0">
                  <c:v>Windows</c:v>
                </c:pt>
                <c:pt idx="1">
                  <c:v>Linux</c:v>
                </c:pt>
                <c:pt idx="2">
                  <c:v>Editores de textos (Word, Writer, etc.)]</c:v>
                </c:pt>
                <c:pt idx="3">
                  <c:v>Planilhas Eletrônicas</c:v>
                </c:pt>
                <c:pt idx="4">
                  <c:v>Apresentadores</c:v>
                </c:pt>
                <c:pt idx="5">
                  <c:v>Sis. De Gestão Empr.</c:v>
                </c:pt>
              </c:strCache>
            </c:strRef>
          </c:cat>
          <c:val>
            <c:numRef>
              <c:f>Análise!$K$42:$K$47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C1-432D-96AA-A3692309C0E4}"/>
            </c:ext>
          </c:extLst>
        </c:ser>
        <c:ser>
          <c:idx val="2"/>
          <c:order val="2"/>
          <c:tx>
            <c:strRef>
              <c:f>Análise!$L$41</c:f>
              <c:strCache>
                <c:ptCount val="1"/>
                <c:pt idx="0">
                  <c:v>Intermediário</c:v>
                </c:pt>
              </c:strCache>
            </c:strRef>
          </c:tx>
          <c:spPr>
            <a:pattFill prst="ltUpDiag">
              <a:fgClr>
                <a:schemeClr val="dk1">
                  <a:tint val="750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750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Análise!$I$42:$I$47</c:f>
              <c:strCache>
                <c:ptCount val="6"/>
                <c:pt idx="0">
                  <c:v>Windows</c:v>
                </c:pt>
                <c:pt idx="1">
                  <c:v>Linux</c:v>
                </c:pt>
                <c:pt idx="2">
                  <c:v>Editores de textos (Word, Writer, etc.)]</c:v>
                </c:pt>
                <c:pt idx="3">
                  <c:v>Planilhas Eletrônicas</c:v>
                </c:pt>
                <c:pt idx="4">
                  <c:v>Apresentadores</c:v>
                </c:pt>
                <c:pt idx="5">
                  <c:v>Sis. De Gestão Empr.</c:v>
                </c:pt>
              </c:strCache>
            </c:strRef>
          </c:cat>
          <c:val>
            <c:numRef>
              <c:f>Análise!$L$42:$L$47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C1-432D-96AA-A3692309C0E4}"/>
            </c:ext>
          </c:extLst>
        </c:ser>
        <c:ser>
          <c:idx val="3"/>
          <c:order val="3"/>
          <c:tx>
            <c:strRef>
              <c:f>Análise!$M$41</c:f>
              <c:strCache>
                <c:ptCount val="1"/>
                <c:pt idx="0">
                  <c:v>Muito Avançado</c:v>
                </c:pt>
              </c:strCache>
            </c:strRef>
          </c:tx>
          <c:spPr>
            <a:pattFill prst="ltUpDiag">
              <a:fgClr>
                <a:schemeClr val="dk1">
                  <a:tint val="985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985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Análise!$I$42:$I$47</c:f>
              <c:strCache>
                <c:ptCount val="6"/>
                <c:pt idx="0">
                  <c:v>Windows</c:v>
                </c:pt>
                <c:pt idx="1">
                  <c:v>Linux</c:v>
                </c:pt>
                <c:pt idx="2">
                  <c:v>Editores de textos (Word, Writer, etc.)]</c:v>
                </c:pt>
                <c:pt idx="3">
                  <c:v>Planilhas Eletrônicas</c:v>
                </c:pt>
                <c:pt idx="4">
                  <c:v>Apresentadores</c:v>
                </c:pt>
                <c:pt idx="5">
                  <c:v>Sis. De Gestão Empr.</c:v>
                </c:pt>
              </c:strCache>
            </c:strRef>
          </c:cat>
          <c:val>
            <c:numRef>
              <c:f>Análise!$M$42:$M$47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C1-432D-96AA-A3692309C0E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851954991"/>
        <c:axId val="1851966639"/>
      </c:barChart>
      <c:catAx>
        <c:axId val="1851954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dk1">
                <a:tint val="88500"/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66639"/>
        <c:crosses val="autoZero"/>
        <c:auto val="1"/>
        <c:lblAlgn val="ctr"/>
        <c:lblOffset val="100"/>
        <c:noMultiLvlLbl val="0"/>
      </c:catAx>
      <c:valAx>
        <c:axId val="1851966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5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0070C0"/>
    </a:solidFill>
    <a:ln w="15875" cap="flat" cmpd="sng" algn="ctr">
      <a:solidFill>
        <a:sysClr val="window" lastClr="FFFFFF"/>
      </a:solidFill>
      <a:round/>
    </a:ln>
    <a:effectLst>
      <a:outerShdw blurRad="50800" dist="38100" dir="2700000" algn="tl" rotWithShape="0">
        <a:prstClr val="black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cap="all" baseline="0">
                <a:effectLst/>
              </a:rPr>
              <a:t>26.Conhecimento Sobre Idiomas: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Análise!$I$50</c:f>
              <c:strCache>
                <c:ptCount val="1"/>
                <c:pt idx="0">
                  <c:v>Inglês</c:v>
                </c:pt>
              </c:strCache>
            </c:strRef>
          </c:tx>
          <c:spPr>
            <a:pattFill prst="ltUpDiag">
              <a:fgClr>
                <a:schemeClr val="dk1">
                  <a:tint val="885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885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Análise!$J$49:$N$49</c:f>
              <c:strCache>
                <c:ptCount val="5"/>
                <c:pt idx="0">
                  <c:v>Leio, escrevo e falo bem</c:v>
                </c:pt>
                <c:pt idx="1">
                  <c:v>Leio, escrevo e falo razoavelmente</c:v>
                </c:pt>
                <c:pt idx="2">
                  <c:v>Leio e escrevo mas não falo</c:v>
                </c:pt>
                <c:pt idx="3">
                  <c:v>Leio mas não escrevo nem falo</c:v>
                </c:pt>
                <c:pt idx="4">
                  <c:v>Praticamente nula</c:v>
                </c:pt>
              </c:strCache>
            </c:strRef>
          </c:cat>
          <c:val>
            <c:numRef>
              <c:f>Análise!$J$50:$N$50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71-4C05-8F01-1B4D2FDE1D42}"/>
            </c:ext>
          </c:extLst>
        </c:ser>
        <c:ser>
          <c:idx val="1"/>
          <c:order val="1"/>
          <c:tx>
            <c:strRef>
              <c:f>Análise!$I$51</c:f>
              <c:strCache>
                <c:ptCount val="1"/>
                <c:pt idx="0">
                  <c:v>Espanho</c:v>
                </c:pt>
              </c:strCache>
            </c:strRef>
          </c:tx>
          <c:spPr>
            <a:pattFill prst="ltUpDiag">
              <a:fgClr>
                <a:schemeClr val="dk1">
                  <a:tint val="550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550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Análise!$J$49:$N$49</c:f>
              <c:strCache>
                <c:ptCount val="5"/>
                <c:pt idx="0">
                  <c:v>Leio, escrevo e falo bem</c:v>
                </c:pt>
                <c:pt idx="1">
                  <c:v>Leio, escrevo e falo razoavelmente</c:v>
                </c:pt>
                <c:pt idx="2">
                  <c:v>Leio e escrevo mas não falo</c:v>
                </c:pt>
                <c:pt idx="3">
                  <c:v>Leio mas não escrevo nem falo</c:v>
                </c:pt>
                <c:pt idx="4">
                  <c:v>Praticamente nula</c:v>
                </c:pt>
              </c:strCache>
            </c:strRef>
          </c:cat>
          <c:val>
            <c:numRef>
              <c:f>Análise!$J$51:$N$51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71-4C05-8F01-1B4D2FDE1D42}"/>
            </c:ext>
          </c:extLst>
        </c:ser>
        <c:ser>
          <c:idx val="2"/>
          <c:order val="2"/>
          <c:tx>
            <c:strRef>
              <c:f>Análise!$I$52</c:f>
              <c:strCache>
                <c:ptCount val="1"/>
                <c:pt idx="0">
                  <c:v>Outro Idioma</c:v>
                </c:pt>
              </c:strCache>
            </c:strRef>
          </c:tx>
          <c:spPr>
            <a:pattFill prst="ltUpDiag">
              <a:fgClr>
                <a:schemeClr val="dk1">
                  <a:tint val="750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750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Análise!$J$49:$N$49</c:f>
              <c:strCache>
                <c:ptCount val="5"/>
                <c:pt idx="0">
                  <c:v>Leio, escrevo e falo bem</c:v>
                </c:pt>
                <c:pt idx="1">
                  <c:v>Leio, escrevo e falo razoavelmente</c:v>
                </c:pt>
                <c:pt idx="2">
                  <c:v>Leio e escrevo mas não falo</c:v>
                </c:pt>
                <c:pt idx="3">
                  <c:v>Leio mas não escrevo nem falo</c:v>
                </c:pt>
                <c:pt idx="4">
                  <c:v>Praticamente nula</c:v>
                </c:pt>
              </c:strCache>
            </c:strRef>
          </c:cat>
          <c:val>
            <c:numRef>
              <c:f>Análise!$J$52:$N$52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71-4C05-8F01-1B4D2FDE1D4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851954991"/>
        <c:axId val="1851966639"/>
      </c:barChart>
      <c:catAx>
        <c:axId val="1851954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dk1">
                <a:tint val="88500"/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66639"/>
        <c:crosses val="autoZero"/>
        <c:auto val="1"/>
        <c:lblAlgn val="ctr"/>
        <c:lblOffset val="100"/>
        <c:noMultiLvlLbl val="0"/>
      </c:catAx>
      <c:valAx>
        <c:axId val="1851966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5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0070C0"/>
    </a:solidFill>
    <a:ln w="15875" cap="flat" cmpd="sng" algn="ctr">
      <a:solidFill>
        <a:sysClr val="window" lastClr="FFFFFF"/>
      </a:solidFill>
      <a:round/>
    </a:ln>
    <a:effectLst>
      <a:outerShdw blurRad="50800" dist="38100" dir="2700000" algn="tl" rotWithShape="0">
        <a:prstClr val="black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cap="all" baseline="0">
                <a:effectLst/>
              </a:rPr>
              <a:t>27.Meios de Comunicação: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Análise!$M$23</c:f>
              <c:strCache>
                <c:ptCount val="1"/>
                <c:pt idx="0">
                  <c:v>Nunca</c:v>
                </c:pt>
              </c:strCache>
            </c:strRef>
          </c:tx>
          <c:spPr>
            <a:pattFill prst="ltUpDiag">
              <a:fgClr>
                <a:schemeClr val="dk1">
                  <a:tint val="885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885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Análise!$L$24:$L$30</c:f>
              <c:strCache>
                <c:ptCount val="7"/>
                <c:pt idx="0">
                  <c:v>Televisores</c:v>
                </c:pt>
                <c:pt idx="1">
                  <c:v>Internet</c:v>
                </c:pt>
                <c:pt idx="2">
                  <c:v>Revistas</c:v>
                </c:pt>
                <c:pt idx="3">
                  <c:v>Jornais</c:v>
                </c:pt>
                <c:pt idx="4">
                  <c:v>Rádio</c:v>
                </c:pt>
                <c:pt idx="5">
                  <c:v>Redes Sociais</c:v>
                </c:pt>
                <c:pt idx="6">
                  <c:v>Conversa c. Amigos</c:v>
                </c:pt>
              </c:strCache>
            </c:strRef>
          </c:cat>
          <c:val>
            <c:numRef>
              <c:f>Análise!$M$24:$M$30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C6-4505-826D-6F2E38DB3ECD}"/>
            </c:ext>
          </c:extLst>
        </c:ser>
        <c:ser>
          <c:idx val="1"/>
          <c:order val="1"/>
          <c:tx>
            <c:strRef>
              <c:f>Análise!$N$23</c:f>
              <c:strCache>
                <c:ptCount val="1"/>
                <c:pt idx="0">
                  <c:v>Pouco</c:v>
                </c:pt>
              </c:strCache>
            </c:strRef>
          </c:tx>
          <c:spPr>
            <a:pattFill prst="ltUpDiag">
              <a:fgClr>
                <a:schemeClr val="dk1">
                  <a:tint val="550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550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Análise!$L$24:$L$30</c:f>
              <c:strCache>
                <c:ptCount val="7"/>
                <c:pt idx="0">
                  <c:v>Televisores</c:v>
                </c:pt>
                <c:pt idx="1">
                  <c:v>Internet</c:v>
                </c:pt>
                <c:pt idx="2">
                  <c:v>Revistas</c:v>
                </c:pt>
                <c:pt idx="3">
                  <c:v>Jornais</c:v>
                </c:pt>
                <c:pt idx="4">
                  <c:v>Rádio</c:v>
                </c:pt>
                <c:pt idx="5">
                  <c:v>Redes Sociais</c:v>
                </c:pt>
                <c:pt idx="6">
                  <c:v>Conversa c. Amigos</c:v>
                </c:pt>
              </c:strCache>
            </c:strRef>
          </c:cat>
          <c:val>
            <c:numRef>
              <c:f>Análise!$N$24:$N$30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C6-4505-826D-6F2E38DB3ECD}"/>
            </c:ext>
          </c:extLst>
        </c:ser>
        <c:ser>
          <c:idx val="2"/>
          <c:order val="2"/>
          <c:tx>
            <c:strRef>
              <c:f>Análise!$O$23</c:f>
              <c:strCache>
                <c:ptCount val="1"/>
                <c:pt idx="0">
                  <c:v>Às vezes</c:v>
                </c:pt>
              </c:strCache>
            </c:strRef>
          </c:tx>
          <c:spPr>
            <a:pattFill prst="ltUpDiag">
              <a:fgClr>
                <a:schemeClr val="dk1">
                  <a:tint val="750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750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Análise!$L$24:$L$30</c:f>
              <c:strCache>
                <c:ptCount val="7"/>
                <c:pt idx="0">
                  <c:v>Televisores</c:v>
                </c:pt>
                <c:pt idx="1">
                  <c:v>Internet</c:v>
                </c:pt>
                <c:pt idx="2">
                  <c:v>Revistas</c:v>
                </c:pt>
                <c:pt idx="3">
                  <c:v>Jornais</c:v>
                </c:pt>
                <c:pt idx="4">
                  <c:v>Rádio</c:v>
                </c:pt>
                <c:pt idx="5">
                  <c:v>Redes Sociais</c:v>
                </c:pt>
                <c:pt idx="6">
                  <c:v>Conversa c. Amigos</c:v>
                </c:pt>
              </c:strCache>
            </c:strRef>
          </c:cat>
          <c:val>
            <c:numRef>
              <c:f>Análise!$O$24:$O$30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C6-4505-826D-6F2E38DB3ECD}"/>
            </c:ext>
          </c:extLst>
        </c:ser>
        <c:ser>
          <c:idx val="3"/>
          <c:order val="3"/>
          <c:tx>
            <c:strRef>
              <c:f>Análise!$P$23</c:f>
              <c:strCache>
                <c:ptCount val="1"/>
                <c:pt idx="0">
                  <c:v>Muito</c:v>
                </c:pt>
              </c:strCache>
            </c:strRef>
          </c:tx>
          <c:spPr>
            <a:pattFill prst="ltUpDiag">
              <a:fgClr>
                <a:schemeClr val="dk1">
                  <a:tint val="985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985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Análise!$L$24:$L$30</c:f>
              <c:strCache>
                <c:ptCount val="7"/>
                <c:pt idx="0">
                  <c:v>Televisores</c:v>
                </c:pt>
                <c:pt idx="1">
                  <c:v>Internet</c:v>
                </c:pt>
                <c:pt idx="2">
                  <c:v>Revistas</c:v>
                </c:pt>
                <c:pt idx="3">
                  <c:v>Jornais</c:v>
                </c:pt>
                <c:pt idx="4">
                  <c:v>Rádio</c:v>
                </c:pt>
                <c:pt idx="5">
                  <c:v>Redes Sociais</c:v>
                </c:pt>
                <c:pt idx="6">
                  <c:v>Conversa c. Amigos</c:v>
                </c:pt>
              </c:strCache>
            </c:strRef>
          </c:cat>
          <c:val>
            <c:numRef>
              <c:f>Análise!$P$24:$P$30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5C6-4505-826D-6F2E38DB3ECD}"/>
            </c:ext>
          </c:extLst>
        </c:ser>
        <c:ser>
          <c:idx val="4"/>
          <c:order val="4"/>
          <c:tx>
            <c:strRef>
              <c:f>Análise!$Q$23</c:f>
              <c:strCache>
                <c:ptCount val="1"/>
                <c:pt idx="0">
                  <c:v>Sempre</c:v>
                </c:pt>
              </c:strCache>
            </c:strRef>
          </c:tx>
          <c:spPr>
            <a:pattFill prst="ltUpDiag">
              <a:fgClr>
                <a:schemeClr val="dk1">
                  <a:tint val="300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300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Análise!$L$24:$L$30</c:f>
              <c:strCache>
                <c:ptCount val="7"/>
                <c:pt idx="0">
                  <c:v>Televisores</c:v>
                </c:pt>
                <c:pt idx="1">
                  <c:v>Internet</c:v>
                </c:pt>
                <c:pt idx="2">
                  <c:v>Revistas</c:v>
                </c:pt>
                <c:pt idx="3">
                  <c:v>Jornais</c:v>
                </c:pt>
                <c:pt idx="4">
                  <c:v>Rádio</c:v>
                </c:pt>
                <c:pt idx="5">
                  <c:v>Redes Sociais</c:v>
                </c:pt>
                <c:pt idx="6">
                  <c:v>Conversa c. Amigos</c:v>
                </c:pt>
              </c:strCache>
            </c:strRef>
          </c:cat>
          <c:val>
            <c:numRef>
              <c:f>Análise!$Q$24:$Q$30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5C6-4505-826D-6F2E38DB3EC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851954991"/>
        <c:axId val="1851966639"/>
      </c:barChart>
      <c:catAx>
        <c:axId val="1851954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dk1">
                <a:tint val="88500"/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66639"/>
        <c:crosses val="autoZero"/>
        <c:auto val="1"/>
        <c:lblAlgn val="ctr"/>
        <c:lblOffset val="100"/>
        <c:noMultiLvlLbl val="0"/>
      </c:catAx>
      <c:valAx>
        <c:axId val="1851966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54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rgbClr val="0070C0"/>
    </a:solidFill>
    <a:ln w="15875" cap="flat" cmpd="sng" algn="ctr">
      <a:solidFill>
        <a:sysClr val="window" lastClr="FFFFFF"/>
      </a:solidFill>
      <a:round/>
    </a:ln>
    <a:effectLst>
      <a:outerShdw blurRad="50800" dist="38100" dir="2700000" algn="tl" rotWithShape="0">
        <a:sysClr val="windowText" lastClr="000000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12. Com quem cada estudante mora: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Análise!$C$54</c:f>
              <c:strCache>
                <c:ptCount val="1"/>
                <c:pt idx="0">
                  <c:v>12. Com quem você mora atualmente?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19C1-4B0C-BF15-0509BC2386D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19C1-4B0C-BF15-0509BC2386D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19C1-4B0C-BF15-0509BC2386D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19C1-4B0C-BF15-0509BC2386D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Análise!$D$53:$G$53</c:f>
              <c:strCache>
                <c:ptCount val="4"/>
                <c:pt idx="0">
                  <c:v>Com pais e(ou) parentes</c:v>
                </c:pt>
                <c:pt idx="1">
                  <c:v>Com esposa(o) e(ou) filho(s)</c:v>
                </c:pt>
                <c:pt idx="2">
                  <c:v>Com amigos (compartilhando despesas) ou de favor</c:v>
                </c:pt>
                <c:pt idx="3">
                  <c:v>Sozinho</c:v>
                </c:pt>
              </c:strCache>
            </c:strRef>
          </c:cat>
          <c:val>
            <c:numRef>
              <c:f>Análise!$D$54:$G$54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C1-4B0C-BF15-0509BC2386D4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rgbClr val="0070C0"/>
    </a:solidFill>
    <a:ln w="15875">
      <a:solidFill>
        <a:sysClr val="window" lastClr="FFFFFF"/>
      </a:solidFill>
    </a:ln>
    <a:effectLst>
      <a:outerShdw blurRad="50800" dist="38100" dir="2700000" algn="tl" rotWithShape="0">
        <a:sysClr val="windowText" lastClr="000000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cap="all" baseline="0">
                <a:effectLst/>
              </a:rPr>
              <a:t>15. Tempo de moradia (Em anos):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Análise!$A$60</c:f>
              <c:strCache>
                <c:ptCount val="1"/>
                <c:pt idx="0">
                  <c:v>15. Tempo de moradia neste domicílio (Em anos)</c:v>
                </c:pt>
              </c:strCache>
            </c:strRef>
          </c:tx>
          <c:spPr>
            <a:pattFill prst="ltUpDiag">
              <a:fgClr>
                <a:schemeClr val="dk1">
                  <a:tint val="885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885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Análise!$B$59:$AM$59</c:f>
              <c:numCache>
                <c:formatCode>General</c:formatCode>
                <c:ptCount val="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</c:numCache>
            </c:numRef>
          </c:cat>
          <c:val>
            <c:numRef>
              <c:f>Análise!$B$60:$AM$60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A2-4309-A6AE-B704CED1D04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851954991"/>
        <c:axId val="1851966639"/>
      </c:barChart>
      <c:catAx>
        <c:axId val="1851954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dk1">
                <a:tint val="88500"/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66639"/>
        <c:crosses val="autoZero"/>
        <c:auto val="1"/>
        <c:lblAlgn val="ctr"/>
        <c:lblOffset val="100"/>
        <c:noMultiLvlLbl val="0"/>
      </c:catAx>
      <c:valAx>
        <c:axId val="1851966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5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0070C0"/>
    </a:solidFill>
    <a:ln w="15875" cap="flat" cmpd="sng" algn="ctr">
      <a:solidFill>
        <a:sysClr val="window" lastClr="FFFFFF"/>
      </a:solidFill>
      <a:round/>
    </a:ln>
    <a:effectLst>
      <a:outerShdw blurRad="50800" dist="38100" dir="2700000" algn="tl" rotWithShape="0">
        <a:prstClr val="black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cap="all" baseline="0">
                <a:effectLst/>
              </a:rPr>
              <a:t>13. Quantidade de Pessoas no Domicício: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Análise!$I$27</c:f>
              <c:strCache>
                <c:ptCount val="1"/>
                <c:pt idx="0">
                  <c:v>Qtde.</c:v>
                </c:pt>
              </c:strCache>
            </c:strRef>
          </c:tx>
          <c:spPr>
            <a:pattFill prst="ltUpDiag">
              <a:fgClr>
                <a:schemeClr val="dk1">
                  <a:tint val="885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885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Análise!$H$28:$H$33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Mais de 5</c:v>
                </c:pt>
              </c:strCache>
            </c:strRef>
          </c:cat>
          <c:val>
            <c:numRef>
              <c:f>Análise!$I$28:$I$33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EC-441D-8B48-8105B4A5CCD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851954991"/>
        <c:axId val="1851966639"/>
      </c:barChart>
      <c:catAx>
        <c:axId val="1851954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dk1">
                <a:tint val="88500"/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66639"/>
        <c:crosses val="autoZero"/>
        <c:auto val="1"/>
        <c:lblAlgn val="ctr"/>
        <c:lblOffset val="100"/>
        <c:noMultiLvlLbl val="0"/>
      </c:catAx>
      <c:valAx>
        <c:axId val="1851966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5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0070C0"/>
    </a:solidFill>
    <a:ln w="15875" cap="flat" cmpd="sng" algn="ctr">
      <a:solidFill>
        <a:sysClr val="window" lastClr="FFFFFF"/>
      </a:solidFill>
      <a:round/>
    </a:ln>
    <a:effectLst>
      <a:outerShdw blurRad="50800" dist="38100" dir="2700000" algn="tl" rotWithShape="0">
        <a:prstClr val="black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cap="all" baseline="0">
                <a:effectLst/>
              </a:rPr>
              <a:t>16.Renda mensal da família (em salários mínimos) :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Análise!$M$12</c:f>
              <c:strCache>
                <c:ptCount val="1"/>
                <c:pt idx="0">
                  <c:v>Qtde.</c:v>
                </c:pt>
              </c:strCache>
            </c:strRef>
          </c:tx>
          <c:spPr>
            <a:pattFill prst="ltUpDiag">
              <a:fgClr>
                <a:schemeClr val="dk1">
                  <a:tint val="885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885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Análise!$L$13:$L$19</c:f>
              <c:strCache>
                <c:ptCount val="7"/>
                <c:pt idx="0">
                  <c:v>Até dois salários mínimos</c:v>
                </c:pt>
                <c:pt idx="1">
                  <c:v>Mais de dois até cinco salários mínimos</c:v>
                </c:pt>
                <c:pt idx="2">
                  <c:v>Mais de dez até vinte salários mínimos</c:v>
                </c:pt>
                <c:pt idx="3">
                  <c:v>Mais de cinco até dez salários mínimos</c:v>
                </c:pt>
                <c:pt idx="4">
                  <c:v>Mais de dez até vinte salários mínimos</c:v>
                </c:pt>
                <c:pt idx="5">
                  <c:v>Mais de vinte salários mínimos</c:v>
                </c:pt>
                <c:pt idx="6">
                  <c:v>Prefiro não responder</c:v>
                </c:pt>
              </c:strCache>
            </c:strRef>
          </c:cat>
          <c:val>
            <c:numRef>
              <c:f>Análise!$M$13:$M$19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AE-4A6B-9EC7-7FA610E2B45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851954991"/>
        <c:axId val="1851966639"/>
      </c:barChart>
      <c:catAx>
        <c:axId val="1851954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dk1">
                <a:tint val="88500"/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66639"/>
        <c:crosses val="autoZero"/>
        <c:auto val="1"/>
        <c:lblAlgn val="ctr"/>
        <c:lblOffset val="100"/>
        <c:noMultiLvlLbl val="0"/>
      </c:catAx>
      <c:valAx>
        <c:axId val="1851966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5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0070C0"/>
    </a:solidFill>
    <a:ln w="15875" cap="flat" cmpd="sng" algn="ctr">
      <a:solidFill>
        <a:sysClr val="window" lastClr="FFFFFF"/>
      </a:solidFill>
      <a:round/>
    </a:ln>
    <a:effectLst>
      <a:outerShdw blurRad="50800" dist="38100" dir="2700000" algn="tl" rotWithShape="0">
        <a:sysClr val="windowText" lastClr="000000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500" b="1" i="0" u="none" strike="noStrike" kern="1200" cap="all" spc="100" normalizeH="0" baseline="0">
                <a:solidFill>
                  <a:sysClr val="window" lastClr="FFFFFF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cap="all" baseline="0">
                <a:effectLst/>
              </a:rPr>
              <a:t>18. No domicílio do aluno tem: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500" b="1" i="0" u="none" strike="noStrike" kern="1200" cap="all" spc="100" normalizeH="0" baseline="0">
              <a:solidFill>
                <a:sysClr val="window" lastClr="FFFFFF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Análise!$P$32</c:f>
              <c:strCache>
                <c:ptCount val="1"/>
                <c:pt idx="0">
                  <c:v>Qtde.</c:v>
                </c:pt>
              </c:strCache>
            </c:strRef>
          </c:tx>
          <c:spPr>
            <a:pattFill prst="ltUpDiag">
              <a:fgClr>
                <a:schemeClr val="dk1">
                  <a:tint val="885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885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Análise!$O$33:$O$41</c:f>
              <c:strCache>
                <c:ptCount val="9"/>
                <c:pt idx="0">
                  <c:v>Telefone fixo</c:v>
                </c:pt>
                <c:pt idx="1">
                  <c:v>Internet</c:v>
                </c:pt>
                <c:pt idx="2">
                  <c:v>Tv por assinatura</c:v>
                </c:pt>
                <c:pt idx="3">
                  <c:v>Empregada mensalista</c:v>
                </c:pt>
                <c:pt idx="4">
                  <c:v>Nenhuma das opções acima</c:v>
                </c:pt>
                <c:pt idx="5">
                  <c:v>Telefone fixo, Internet</c:v>
                </c:pt>
                <c:pt idx="6">
                  <c:v>Telefone fixo, Internet, Tv por assinatura</c:v>
                </c:pt>
                <c:pt idx="7">
                  <c:v>Internet, Tv por assinatura</c:v>
                </c:pt>
                <c:pt idx="8">
                  <c:v>Internet, Tv por assinatura, Empregada mensalista</c:v>
                </c:pt>
              </c:strCache>
            </c:strRef>
          </c:cat>
          <c:val>
            <c:numRef>
              <c:f>Análise!$P$33:$P$41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19-436A-81AD-BE0E93ED2BE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851954991"/>
        <c:axId val="1851966639"/>
      </c:barChart>
      <c:catAx>
        <c:axId val="1851954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dk1">
                <a:tint val="88500"/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66639"/>
        <c:crosses val="autoZero"/>
        <c:auto val="1"/>
        <c:lblAlgn val="ctr"/>
        <c:lblOffset val="100"/>
        <c:noMultiLvlLbl val="0"/>
      </c:catAx>
      <c:valAx>
        <c:axId val="1851966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5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0070C0"/>
    </a:solidFill>
    <a:ln w="15875" cap="flat" cmpd="sng" algn="ctr">
      <a:solidFill>
        <a:sysClr val="window" lastClr="FFFFFF"/>
      </a:solidFill>
      <a:round/>
    </a:ln>
    <a:effectLst>
      <a:outerShdw blurRad="50800" dist="38100" dir="2700000" algn="tl" rotWithShape="0">
        <a:prstClr val="black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20.Plano</a:t>
            </a:r>
            <a:r>
              <a:rPr lang="pt-BR" baseline="0"/>
              <a:t> de Saúde: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Análise!$O$13</c:f>
              <c:strCache>
                <c:ptCount val="1"/>
                <c:pt idx="0">
                  <c:v>20. Você tem plano de saúde privado?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E442-4F15-82B4-B8753ECC35D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E442-4F15-82B4-B8753ECC35D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E442-4F15-82B4-B8753ECC35D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E442-4F15-82B4-B8753ECC35D8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E442-4F15-82B4-B8753ECC35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Análise!$P$12:$T$12</c:f>
              <c:strCache>
                <c:ptCount val="5"/>
                <c:pt idx="0">
                  <c:v>Tenho e é pago integralmente pela empresa</c:v>
                </c:pt>
                <c:pt idx="1">
                  <c:v>Não tenho, uso o SUS</c:v>
                </c:pt>
                <c:pt idx="2">
                  <c:v>Tenho e é um plano familiar</c:v>
                </c:pt>
                <c:pt idx="3">
                  <c:v>Tenho e é um plano individual</c:v>
                </c:pt>
                <c:pt idx="4">
                  <c:v>Tenho e é pago parcialmente pela empresa</c:v>
                </c:pt>
              </c:strCache>
            </c:strRef>
          </c:cat>
          <c:val>
            <c:numRef>
              <c:f>Análise!$P$13:$T$13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442-4F15-82B4-B8753ECC35D8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rgbClr val="0070C0"/>
    </a:solidFill>
    <a:ln w="15875">
      <a:solidFill>
        <a:sysClr val="window" lastClr="FFFFFF"/>
      </a:solidFill>
    </a:ln>
    <a:effectLst>
      <a:outerShdw blurRad="50800" dist="38100" dir="2700000" algn="tl" rotWithShape="0">
        <a:prstClr val="black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33. Religião: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Análise!$M$32</c:f>
              <c:strCache>
                <c:ptCount val="1"/>
                <c:pt idx="0">
                  <c:v>Qtde.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096F-4523-8CF1-A1C21571E17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096F-4523-8CF1-A1C21571E17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096F-4523-8CF1-A1C21571E17C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096F-4523-8CF1-A1C21571E17C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096F-4523-8CF1-A1C21571E17C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B-096F-4523-8CF1-A1C21571E17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Análise!$L$33:$L$38</c:f>
              <c:strCache>
                <c:ptCount val="6"/>
                <c:pt idx="0">
                  <c:v>Nenhuma</c:v>
                </c:pt>
                <c:pt idx="1">
                  <c:v>Católica</c:v>
                </c:pt>
                <c:pt idx="2">
                  <c:v>Espírita</c:v>
                </c:pt>
                <c:pt idx="3">
                  <c:v>Evangélica</c:v>
                </c:pt>
                <c:pt idx="4">
                  <c:v>Protestante</c:v>
                </c:pt>
                <c:pt idx="5">
                  <c:v>Outra</c:v>
                </c:pt>
              </c:strCache>
            </c:strRef>
          </c:cat>
          <c:val>
            <c:numRef>
              <c:f>Análise!$M$33:$M$38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96F-4523-8CF1-A1C21571E17C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rgbClr val="0070C0"/>
    </a:solidFill>
    <a:ln w="15875">
      <a:solidFill>
        <a:sysClr val="window" lastClr="FFFFFF"/>
      </a:solidFill>
    </a:ln>
    <a:effectLst>
      <a:outerShdw blurRad="50800" dist="38100" dir="2700000" algn="tl" rotWithShape="0">
        <a:prstClr val="black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41. Meios</a:t>
            </a:r>
            <a:r>
              <a:rPr lang="pt-BR" baseline="0"/>
              <a:t> de Transporte: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Análise!$T$23</c:f>
              <c:strCache>
                <c:ptCount val="1"/>
                <c:pt idx="0">
                  <c:v>Qtde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967D-4972-8A73-7A4FFE8658F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967D-4972-8A73-7A4FFE8658F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967D-4972-8A73-7A4FFE8658F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967D-4972-8A73-7A4FFE8658F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967D-4972-8A73-7A4FFE8658F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B-967D-4972-8A73-7A4FFE8658F9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D-967D-4972-8A73-7A4FFE8658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Análise!$S$24:$S$30</c:f>
              <c:strCache>
                <c:ptCount val="7"/>
                <c:pt idx="0">
                  <c:v>Caminhando</c:v>
                </c:pt>
                <c:pt idx="1">
                  <c:v>Carona</c:v>
                </c:pt>
                <c:pt idx="2">
                  <c:v>Bicicleta</c:v>
                </c:pt>
                <c:pt idx="3">
                  <c:v>Moto</c:v>
                </c:pt>
                <c:pt idx="4">
                  <c:v>Carro</c:v>
                </c:pt>
                <c:pt idx="5">
                  <c:v>Ônibus</c:v>
                </c:pt>
                <c:pt idx="6">
                  <c:v>Transporte escolar</c:v>
                </c:pt>
              </c:strCache>
            </c:strRef>
          </c:cat>
          <c:val>
            <c:numRef>
              <c:f>Análise!$T$24:$T$30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67D-4972-8A73-7A4FFE8658F9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rgbClr val="0070C0"/>
    </a:solidFill>
    <a:ln w="15875">
      <a:solidFill>
        <a:sysClr val="window" lastClr="FFFFFF"/>
      </a:solidFill>
    </a:ln>
    <a:effectLst>
      <a:outerShdw blurRad="50800" dist="38100" dir="2700000" algn="tl" rotWithShape="0">
        <a:prstClr val="black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cap="all" baseline="0">
                <a:effectLst/>
              </a:rPr>
              <a:t>21.grau de escolaridade pai e mãe: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Análise!$S$32</c:f>
              <c:strCache>
                <c:ptCount val="1"/>
                <c:pt idx="0">
                  <c:v>Pai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4F81BD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Análise!$R$33:$R$39</c:f>
              <c:strCache>
                <c:ptCount val="7"/>
                <c:pt idx="0">
                  <c:v>Nenhuma Escolaridade</c:v>
                </c:pt>
                <c:pt idx="1">
                  <c:v>Ensino fundamental I (1º ao 5º anos)</c:v>
                </c:pt>
                <c:pt idx="2">
                  <c:v>Ensino fundamental II (6º ao 9º anos)</c:v>
                </c:pt>
                <c:pt idx="3">
                  <c:v>Ensino Médio</c:v>
                </c:pt>
                <c:pt idx="4">
                  <c:v>Ensino Superior</c:v>
                </c:pt>
                <c:pt idx="5">
                  <c:v>Pós-Graduação</c:v>
                </c:pt>
                <c:pt idx="6">
                  <c:v>Prefiro não responder</c:v>
                </c:pt>
              </c:strCache>
            </c:strRef>
          </c:cat>
          <c:val>
            <c:numRef>
              <c:f>Análise!$S$33:$S$39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B1-46AE-8982-405C08AD8536}"/>
            </c:ext>
          </c:extLst>
        </c:ser>
        <c:ser>
          <c:idx val="1"/>
          <c:order val="1"/>
          <c:tx>
            <c:strRef>
              <c:f>Análise!$T$32</c:f>
              <c:strCache>
                <c:ptCount val="1"/>
                <c:pt idx="0">
                  <c:v>Mãe</c:v>
                </c:pt>
              </c:strCache>
            </c:strRef>
          </c:tx>
          <c:spPr>
            <a:pattFill prst="ltUpDiag">
              <a:fgClr>
                <a:schemeClr val="accent2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C0504D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Análise!$R$33:$R$39</c:f>
              <c:strCache>
                <c:ptCount val="7"/>
                <c:pt idx="0">
                  <c:v>Nenhuma Escolaridade</c:v>
                </c:pt>
                <c:pt idx="1">
                  <c:v>Ensino fundamental I (1º ao 5º anos)</c:v>
                </c:pt>
                <c:pt idx="2">
                  <c:v>Ensino fundamental II (6º ao 9º anos)</c:v>
                </c:pt>
                <c:pt idx="3">
                  <c:v>Ensino Médio</c:v>
                </c:pt>
                <c:pt idx="4">
                  <c:v>Ensino Superior</c:v>
                </c:pt>
                <c:pt idx="5">
                  <c:v>Pós-Graduação</c:v>
                </c:pt>
                <c:pt idx="6">
                  <c:v>Prefiro não responder</c:v>
                </c:pt>
              </c:strCache>
            </c:strRef>
          </c:cat>
          <c:val>
            <c:numRef>
              <c:f>Análise!$T$33:$T$39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B1-46AE-8982-405C08AD853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902508239"/>
        <c:axId val="1902504911"/>
      </c:barChart>
      <c:catAx>
        <c:axId val="19025082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02504911"/>
        <c:crosses val="autoZero"/>
        <c:auto val="1"/>
        <c:lblAlgn val="ctr"/>
        <c:lblOffset val="100"/>
        <c:noMultiLvlLbl val="0"/>
      </c:catAx>
      <c:valAx>
        <c:axId val="1902504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02508239"/>
        <c:crosses val="autoZero"/>
        <c:crossBetween val="between"/>
      </c:valAx>
      <c:spPr>
        <a:solidFill>
          <a:srgbClr val="0070C0"/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0070C0"/>
    </a:solidFill>
    <a:ln w="15875" cap="flat" cmpd="sng" algn="ctr">
      <a:solidFill>
        <a:sysClr val="window" lastClr="FFFFFF"/>
      </a:solidFill>
      <a:round/>
    </a:ln>
    <a:effectLst>
      <a:outerShdw blurRad="50800" dist="38100" dir="2700000" algn="tl" rotWithShape="0">
        <a:prstClr val="black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cap="all" baseline="0">
                <a:effectLst/>
              </a:rPr>
              <a:t>22.Estudou: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Análise!$S$42</c:f>
              <c:strCache>
                <c:ptCount val="1"/>
                <c:pt idx="0">
                  <c:v>Qtde.</c:v>
                </c:pt>
              </c:strCache>
            </c:strRef>
          </c:tx>
          <c:spPr>
            <a:pattFill prst="ltUpDiag">
              <a:fgClr>
                <a:schemeClr val="dk1">
                  <a:tint val="885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885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Análise!$R$43:$R$48</c:f>
              <c:strCache>
                <c:ptCount val="6"/>
                <c:pt idx="0">
                  <c:v>Sempre em escola pública</c:v>
                </c:pt>
                <c:pt idx="1">
                  <c:v>A maior parte em escola pública</c:v>
                </c:pt>
                <c:pt idx="2">
                  <c:v>Sempre em escola particular paga pela família</c:v>
                </c:pt>
                <c:pt idx="3">
                  <c:v>Sempre em escola particular com bolsa</c:v>
                </c:pt>
                <c:pt idx="4">
                  <c:v>A maior parte em escola particular paga pela família</c:v>
                </c:pt>
                <c:pt idx="5">
                  <c:v>A maior parte em escola particular com bolsa</c:v>
                </c:pt>
              </c:strCache>
            </c:strRef>
          </c:cat>
          <c:val>
            <c:numRef>
              <c:f>Análise!$S$43:$S$48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77-4828-9602-9100E8E11A7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851954991"/>
        <c:axId val="1851966639"/>
      </c:barChart>
      <c:catAx>
        <c:axId val="1851954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dk1">
                <a:tint val="88500"/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66639"/>
        <c:crosses val="autoZero"/>
        <c:auto val="1"/>
        <c:lblAlgn val="ctr"/>
        <c:lblOffset val="100"/>
        <c:noMultiLvlLbl val="0"/>
      </c:catAx>
      <c:valAx>
        <c:axId val="1851966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5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0070C0"/>
    </a:solidFill>
    <a:ln w="15875" cap="flat" cmpd="sng" algn="ctr">
      <a:solidFill>
        <a:sysClr val="window" lastClr="FFFFFF"/>
      </a:solidFill>
      <a:round/>
    </a:ln>
    <a:effectLst>
      <a:outerShdw blurRad="50800" dist="38100" dir="2700000" algn="tl" rotWithShape="0">
        <a:prstClr val="black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cap="all" baseline="0">
                <a:effectLst/>
              </a:rPr>
              <a:t>39.já estudaram nesta escola: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Análise!$P$51</c:f>
              <c:strCache>
                <c:ptCount val="1"/>
                <c:pt idx="0">
                  <c:v>39. Você já estudou nesta escola?</c:v>
                </c:pt>
              </c:strCache>
            </c:strRef>
          </c:tx>
          <c:spPr>
            <a:pattFill prst="ltUpDiag">
              <a:fgClr>
                <a:schemeClr val="dk1">
                  <a:tint val="885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885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Análise!$Q$50:$R$50</c:f>
              <c:strCache>
                <c:ptCount val="2"/>
                <c:pt idx="0">
                  <c:v>Não</c:v>
                </c:pt>
                <c:pt idx="1">
                  <c:v>Sim</c:v>
                </c:pt>
              </c:strCache>
            </c:strRef>
          </c:cat>
          <c:val>
            <c:numRef>
              <c:f>Análise!$Q$51:$R$51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99-4B51-BE96-6E775549CB0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851954991"/>
        <c:axId val="1851966639"/>
      </c:barChart>
      <c:catAx>
        <c:axId val="1851954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dk1">
                <a:tint val="88500"/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66639"/>
        <c:crosses val="autoZero"/>
        <c:auto val="1"/>
        <c:lblAlgn val="ctr"/>
        <c:lblOffset val="100"/>
        <c:noMultiLvlLbl val="0"/>
      </c:catAx>
      <c:valAx>
        <c:axId val="1851966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5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0070C0"/>
    </a:solidFill>
    <a:ln w="15875" cap="flat" cmpd="sng" algn="ctr">
      <a:solidFill>
        <a:sysClr val="window" lastClr="FFFFFF"/>
      </a:solidFill>
      <a:round/>
    </a:ln>
    <a:effectLst>
      <a:outerShdw blurRad="50800" dist="38100" dir="2700000" algn="tl" rotWithShape="0">
        <a:prstClr val="black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500" b="1" i="0" u="none" strike="noStrike" kern="1200" cap="all" spc="100" normalizeH="0" baseline="0">
                <a:solidFill>
                  <a:sysClr val="window" lastClr="FFFFFF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cap="all" baseline="0">
                <a:effectLst/>
              </a:rPr>
              <a:t>40.Fez algum curso técnico: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500" b="1" i="0" u="none" strike="noStrike" kern="1200" cap="all" spc="100" normalizeH="0" baseline="0">
              <a:solidFill>
                <a:sysClr val="window" lastClr="FFFFFF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Análise!$B$62</c:f>
              <c:strCache>
                <c:ptCount val="1"/>
                <c:pt idx="0">
                  <c:v>Qtde.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4F81BD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Análise!$A$63:$A$67</c:f>
              <c:strCache>
                <c:ptCount val="5"/>
                <c:pt idx="0">
                  <c:v>Não fiz</c:v>
                </c:pt>
                <c:pt idx="1">
                  <c:v>Sim, em uma ETEC</c:v>
                </c:pt>
                <c:pt idx="2">
                  <c:v>Sim, no SENAC</c:v>
                </c:pt>
                <c:pt idx="3">
                  <c:v>Sim, no SENAI</c:v>
                </c:pt>
                <c:pt idx="4">
                  <c:v>Sim, em outra instituição</c:v>
                </c:pt>
              </c:strCache>
            </c:strRef>
          </c:cat>
          <c:val>
            <c:numRef>
              <c:f>Análise!$B$63:$B$67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4C-4992-BED2-5D808D5547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902508239"/>
        <c:axId val="1902504911"/>
      </c:barChart>
      <c:catAx>
        <c:axId val="19025082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02504911"/>
        <c:crosses val="autoZero"/>
        <c:auto val="1"/>
        <c:lblAlgn val="ctr"/>
        <c:lblOffset val="100"/>
        <c:noMultiLvlLbl val="0"/>
      </c:catAx>
      <c:valAx>
        <c:axId val="1902504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02508239"/>
        <c:crosses val="autoZero"/>
        <c:crossBetween val="between"/>
      </c:valAx>
      <c:spPr>
        <a:solidFill>
          <a:srgbClr val="0070C0"/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0070C0"/>
    </a:solidFill>
    <a:ln w="15875" cap="flat" cmpd="sng" algn="ctr">
      <a:solidFill>
        <a:sysClr val="window" lastClr="FFFFFF"/>
      </a:solidFill>
      <a:round/>
    </a:ln>
    <a:effectLst>
      <a:outerShdw blurRad="50800" dist="38100" dir="2700000" algn="tl" rotWithShape="0">
        <a:prstClr val="black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cap="all" baseline="0">
                <a:effectLst/>
              </a:rPr>
              <a:t>19.1.Trabalham: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Análise!$E$62</c:f>
              <c:strCache>
                <c:ptCount val="1"/>
                <c:pt idx="0">
                  <c:v>Trabalham</c:v>
                </c:pt>
              </c:strCache>
            </c:strRef>
          </c:tx>
          <c:spPr>
            <a:pattFill prst="ltUpDiag">
              <a:fgClr>
                <a:schemeClr val="dk1">
                  <a:tint val="885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885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Análise!$D$63:$D$64</c:f>
              <c:strCache>
                <c:ptCount val="2"/>
                <c:pt idx="0">
                  <c:v>Sim</c:v>
                </c:pt>
                <c:pt idx="1">
                  <c:v>Não</c:v>
                </c:pt>
              </c:strCache>
            </c:strRef>
          </c:cat>
          <c:val>
            <c:numRef>
              <c:f>Análise!$E$63:$E$64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8D-46F4-803A-C1C1B3292E5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851954991"/>
        <c:axId val="1851966639"/>
      </c:barChart>
      <c:catAx>
        <c:axId val="1851954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dk1">
                <a:tint val="88500"/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66639"/>
        <c:crosses val="autoZero"/>
        <c:auto val="1"/>
        <c:lblAlgn val="ctr"/>
        <c:lblOffset val="100"/>
        <c:noMultiLvlLbl val="0"/>
      </c:catAx>
      <c:valAx>
        <c:axId val="1851966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5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0070C0"/>
    </a:solidFill>
    <a:ln w="15875" cap="flat" cmpd="sng" algn="ctr">
      <a:solidFill>
        <a:sysClr val="window" lastClr="FFFFFF"/>
      </a:solidFill>
      <a:round/>
    </a:ln>
    <a:effectLst>
      <a:outerShdw blurRad="50800" dist="38100" dir="2700000" algn="tl" rotWithShape="0">
        <a:prstClr val="black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19.2.Vínculo com o emprego: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Análise!$E$66</c:f>
              <c:strCache>
                <c:ptCount val="1"/>
                <c:pt idx="0">
                  <c:v>Vínculo com o emprego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4F81BD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Análise!$D$67:$D$74</c:f>
              <c:strCache>
                <c:ptCount val="8"/>
                <c:pt idx="0">
                  <c:v>Não trabalho</c:v>
                </c:pt>
                <c:pt idx="1">
                  <c:v>Sou registrado em indústria (calçados/confecções/outras)</c:v>
                </c:pt>
                <c:pt idx="2">
                  <c:v>Sou registrado no comércio</c:v>
                </c:pt>
                <c:pt idx="3">
                  <c:v>Sou registrado em empresa prestadora de serviços</c:v>
                </c:pt>
                <c:pt idx="4">
                  <c:v>Sou resgistrado em empresa pública (federal/estadual/municipal)</c:v>
                </c:pt>
                <c:pt idx="5">
                  <c:v>Sou autônomo</c:v>
                </c:pt>
                <c:pt idx="6">
                  <c:v>Sou empresário</c:v>
                </c:pt>
                <c:pt idx="7">
                  <c:v>Sou estagiário</c:v>
                </c:pt>
              </c:strCache>
            </c:strRef>
          </c:cat>
          <c:val>
            <c:numRef>
              <c:f>Análise!$E$67:$E$74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CF-4235-A28B-F89064F8AC3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902508239"/>
        <c:axId val="1902504911"/>
      </c:barChart>
      <c:catAx>
        <c:axId val="19025082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02504911"/>
        <c:crosses val="autoZero"/>
        <c:auto val="1"/>
        <c:lblAlgn val="ctr"/>
        <c:lblOffset val="100"/>
        <c:noMultiLvlLbl val="0"/>
      </c:catAx>
      <c:valAx>
        <c:axId val="1902504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02508239"/>
        <c:crosses val="autoZero"/>
        <c:crossBetween val="between"/>
      </c:valAx>
      <c:spPr>
        <a:solidFill>
          <a:srgbClr val="0070C0"/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0070C0"/>
    </a:solidFill>
    <a:ln w="15875" cap="flat" cmpd="sng" algn="ctr">
      <a:solidFill>
        <a:sysClr val="window" lastClr="FFFFFF"/>
      </a:solidFill>
      <a:round/>
    </a:ln>
    <a:effectLst>
      <a:outerShdw blurRad="50800" dist="38100" dir="2700000" algn="tl" rotWithShape="0">
        <a:prstClr val="black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cap="all" baseline="0">
                <a:effectLst/>
              </a:rPr>
              <a:t>19.3.Área do trabalho: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Análise!$I$62</c:f>
              <c:strCache>
                <c:ptCount val="1"/>
                <c:pt idx="0">
                  <c:v>Área do trabalho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4F81BD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Análise!$H$63:$H$65</c:f>
              <c:strCache>
                <c:ptCount val="3"/>
                <c:pt idx="0">
                  <c:v>Não trabalho</c:v>
                </c:pt>
                <c:pt idx="1">
                  <c:v>Trabalho na área do curso</c:v>
                </c:pt>
                <c:pt idx="2">
                  <c:v>Trabalho fora da área do curso</c:v>
                </c:pt>
              </c:strCache>
            </c:strRef>
          </c:cat>
          <c:val>
            <c:numRef>
              <c:f>Análise!$I$63:$I$65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34-4B37-BC32-CF72F47C3D3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902508239"/>
        <c:axId val="1902504911"/>
      </c:barChart>
      <c:catAx>
        <c:axId val="19025082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02504911"/>
        <c:crosses val="autoZero"/>
        <c:auto val="1"/>
        <c:lblAlgn val="ctr"/>
        <c:lblOffset val="100"/>
        <c:noMultiLvlLbl val="0"/>
      </c:catAx>
      <c:valAx>
        <c:axId val="1902504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02508239"/>
        <c:crosses val="autoZero"/>
        <c:crossBetween val="between"/>
      </c:valAx>
      <c:spPr>
        <a:solidFill>
          <a:srgbClr val="0070C0"/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0070C0"/>
    </a:solidFill>
    <a:ln w="15875" cap="flat" cmpd="sng" algn="ctr">
      <a:solidFill>
        <a:sysClr val="window" lastClr="FFFFFF"/>
      </a:solidFill>
      <a:round/>
    </a:ln>
    <a:effectLst>
      <a:outerShdw blurRad="50800" dist="38100" dir="2700000" algn="tl" rotWithShape="0">
        <a:prstClr val="black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cap="all" baseline="0">
                <a:effectLst/>
              </a:rPr>
              <a:t>19.4.Horário de trabalho: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Análise!$I$67</c:f>
              <c:strCache>
                <c:ptCount val="1"/>
                <c:pt idx="0">
                  <c:v>Horário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4F81BD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Análise!$H$68:$H$75</c:f>
              <c:strCache>
                <c:ptCount val="8"/>
                <c:pt idx="0">
                  <c:v>Não trabalho</c:v>
                </c:pt>
                <c:pt idx="1">
                  <c:v>Manhã</c:v>
                </c:pt>
                <c:pt idx="2">
                  <c:v>Tarde</c:v>
                </c:pt>
                <c:pt idx="3">
                  <c:v>Noite</c:v>
                </c:pt>
                <c:pt idx="4">
                  <c:v>Manhã e tarde</c:v>
                </c:pt>
                <c:pt idx="5">
                  <c:v>Manhã e noite</c:v>
                </c:pt>
                <c:pt idx="6">
                  <c:v>Tarde e noite</c:v>
                </c:pt>
                <c:pt idx="7">
                  <c:v>Regime de turnos</c:v>
                </c:pt>
              </c:strCache>
            </c:strRef>
          </c:cat>
          <c:val>
            <c:numRef>
              <c:f>Análise!$I$68:$I$75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3C-49E7-BEE7-C85696B672A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902508239"/>
        <c:axId val="1902504911"/>
      </c:barChart>
      <c:catAx>
        <c:axId val="19025082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02504911"/>
        <c:crosses val="autoZero"/>
        <c:auto val="1"/>
        <c:lblAlgn val="ctr"/>
        <c:lblOffset val="100"/>
        <c:noMultiLvlLbl val="0"/>
      </c:catAx>
      <c:valAx>
        <c:axId val="1902504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02508239"/>
        <c:crosses val="autoZero"/>
        <c:crossBetween val="between"/>
      </c:valAx>
      <c:spPr>
        <a:solidFill>
          <a:srgbClr val="0070C0"/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0070C0"/>
    </a:solidFill>
    <a:ln w="15875" cap="flat" cmpd="sng" algn="ctr">
      <a:solidFill>
        <a:sysClr val="window" lastClr="FFFFFF"/>
      </a:solidFill>
      <a:round/>
    </a:ln>
    <a:effectLst>
      <a:outerShdw blurRad="50800" dist="38100" dir="2700000" algn="tl" rotWithShape="0">
        <a:prstClr val="black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500" b="1" i="0" u="none" strike="noStrike" kern="1200" cap="all" spc="100" normalizeH="0" baseline="0">
                <a:solidFill>
                  <a:sysClr val="window" lastClr="FFFFFF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cap="all" baseline="0">
                <a:effectLst/>
              </a:rPr>
              <a:t>23.1.Utilização de microcomputadores: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500" b="1" i="0" u="none" strike="noStrike" kern="1200" cap="all" spc="100" normalizeH="0" baseline="0">
              <a:solidFill>
                <a:sysClr val="window" lastClr="FFFFFF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Análise!$L$62</c:f>
              <c:strCache>
                <c:ptCount val="1"/>
                <c:pt idx="0">
                  <c:v>Qtde.</c:v>
                </c:pt>
              </c:strCache>
            </c:strRef>
          </c:tx>
          <c:spPr>
            <a:pattFill prst="ltUpDiag">
              <a:fgClr>
                <a:schemeClr val="dk1">
                  <a:tint val="885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885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Análise!$K$63:$K$67</c:f>
              <c:strCache>
                <c:ptCount val="5"/>
                <c:pt idx="0">
                  <c:v>Nunca</c:v>
                </c:pt>
                <c:pt idx="1">
                  <c:v>Pouco</c:v>
                </c:pt>
                <c:pt idx="2">
                  <c:v>Ás vezes</c:v>
                </c:pt>
                <c:pt idx="3">
                  <c:v>Muito</c:v>
                </c:pt>
                <c:pt idx="4">
                  <c:v>Sempre</c:v>
                </c:pt>
              </c:strCache>
            </c:strRef>
          </c:cat>
          <c:val>
            <c:numRef>
              <c:f>Análise!$L$63:$L$67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7E-43C1-9D11-84B71C8F2AA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851954991"/>
        <c:axId val="1851966639"/>
      </c:barChart>
      <c:catAx>
        <c:axId val="1851954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dk1">
                <a:tint val="88500"/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66639"/>
        <c:crosses val="autoZero"/>
        <c:auto val="1"/>
        <c:lblAlgn val="ctr"/>
        <c:lblOffset val="100"/>
        <c:noMultiLvlLbl val="0"/>
      </c:catAx>
      <c:valAx>
        <c:axId val="1851966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5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0070C0"/>
    </a:solidFill>
    <a:ln w="15875" cap="flat" cmpd="sng" algn="ctr">
      <a:solidFill>
        <a:sysClr val="window" lastClr="FFFFFF"/>
      </a:solidFill>
      <a:round/>
    </a:ln>
    <a:effectLst>
      <a:outerShdw blurRad="50800" dist="38100" dir="2700000" algn="tl" rotWithShape="0">
        <a:prstClr val="black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cap="all" baseline="0">
                <a:effectLst/>
              </a:rPr>
              <a:t>23.3.Finalidade do uso de microcomputadores: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Análise!$L$69</c:f>
              <c:strCache>
                <c:ptCount val="1"/>
                <c:pt idx="0">
                  <c:v>Qtde.</c:v>
                </c:pt>
              </c:strCache>
            </c:strRef>
          </c:tx>
          <c:spPr>
            <a:pattFill prst="ltUpDiag">
              <a:fgClr>
                <a:schemeClr val="dk1">
                  <a:tint val="885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885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Análise!$K$70:$K$84</c:f>
              <c:strCache>
                <c:ptCount val="15"/>
                <c:pt idx="0">
                  <c:v>Para trabalhos profissionais</c:v>
                </c:pt>
                <c:pt idx="1">
                  <c:v>Para trabalhos escolares</c:v>
                </c:pt>
                <c:pt idx="2">
                  <c:v>Para entrenimento (músicas, vídeos, redes sociais, etc)</c:v>
                </c:pt>
                <c:pt idx="3">
                  <c:v>Para communicação por e-mail</c:v>
                </c:pt>
                <c:pt idx="4">
                  <c:v>Para operações bancárias</c:v>
                </c:pt>
                <c:pt idx="5">
                  <c:v>Para compras eletrônicas</c:v>
                </c:pt>
                <c:pt idx="6">
                  <c:v>Para trabalhos profissionais, Para trabalhos escolares, Para entretenimento (músicas, vídeos, redes sociais, etc), Para comunicação por e-mail, Para operações bancárias, Para compras eletrônicas</c:v>
                </c:pt>
                <c:pt idx="7">
                  <c:v>Para trabalhos escolares, Para entretenimento (músicas, vídeos, redes sociais, etc), Para comunicação por e-mail, Para operações bancárias, Para compras eletrônicas</c:v>
                </c:pt>
                <c:pt idx="8">
                  <c:v>Para trabalhos profissionais, Para trabalhos escolares, Para entretenimento (músicas, vídeos, redes sociais, etc), Para comunicação por e-mail, Para compras eletrônicas</c:v>
                </c:pt>
                <c:pt idx="9">
                  <c:v>Para trabalhos escolares, Para comunicação por e-mail</c:v>
                </c:pt>
                <c:pt idx="10">
                  <c:v>Para trabalhos escolares, Para entretenimento (músicas, vídeos, redes sociais, etc)</c:v>
                </c:pt>
                <c:pt idx="11">
                  <c:v>Para trabalhos escolares, Para entretenimento (músicas, vídeos, redes sociais, etc), Para compras eletrônicas</c:v>
                </c:pt>
                <c:pt idx="12">
                  <c:v>Para trabalhos escolares, Para entretenimento (músicas, vídeos, redes sociais, etc), Para comunicação por e-mail, Para compras eletrônicas</c:v>
                </c:pt>
                <c:pt idx="13">
                  <c:v>Para trabalhos profissionais, Para trabalhos escolares</c:v>
                </c:pt>
                <c:pt idx="14">
                  <c:v>Para trabalhos escolares, Para entretenimento (músicas, vídeos, redes sociais, etc), Para comunicação por e-mail</c:v>
                </c:pt>
              </c:strCache>
            </c:strRef>
          </c:cat>
          <c:val>
            <c:numRef>
              <c:f>Análise!$L$70:$L$84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2B-4979-98DC-98AB47DBF7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851954991"/>
        <c:axId val="1851966639"/>
      </c:barChart>
      <c:catAx>
        <c:axId val="1851954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dk1">
                <a:tint val="88500"/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66639"/>
        <c:crosses val="autoZero"/>
        <c:auto val="1"/>
        <c:lblAlgn val="ctr"/>
        <c:lblOffset val="100"/>
        <c:noMultiLvlLbl val="0"/>
      </c:catAx>
      <c:valAx>
        <c:axId val="1851966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5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0070C0"/>
    </a:solidFill>
    <a:ln w="15875" cap="flat" cmpd="sng" algn="ctr">
      <a:solidFill>
        <a:sysClr val="window" lastClr="FFFFFF"/>
      </a:solidFill>
      <a:round/>
    </a:ln>
    <a:effectLst>
      <a:outerShdw blurRad="50800" dist="38100" dir="2700000" algn="tl" rotWithShape="0">
        <a:prstClr val="black"/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IDADE</a:t>
            </a:r>
            <a:r>
              <a:rPr lang="pt-BR" baseline="0"/>
              <a:t> x GENÊRO: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Análise!$A$91</c:f>
              <c:strCache>
                <c:ptCount val="1"/>
                <c:pt idx="0">
                  <c:v> De 18 a 25</c:v>
                </c:pt>
              </c:strCache>
            </c:strRef>
          </c:tx>
          <c:spPr>
            <a:pattFill prst="ltUpDiag">
              <a:fgClr>
                <a:schemeClr val="dk1">
                  <a:tint val="885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885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Análise!$B$90:$J$90</c:f>
              <c:strCache>
                <c:ptCount val="9"/>
                <c:pt idx="0">
                  <c:v>Masculino</c:v>
                </c:pt>
                <c:pt idx="1">
                  <c:v>Feminino</c:v>
                </c:pt>
                <c:pt idx="2">
                  <c:v>Não sei responder</c:v>
                </c:pt>
                <c:pt idx="3">
                  <c:v>Homem transgênero</c:v>
                </c:pt>
                <c:pt idx="4">
                  <c:v>Mulher Transgênero</c:v>
                </c:pt>
                <c:pt idx="5">
                  <c:v>Homem Transexual</c:v>
                </c:pt>
                <c:pt idx="6">
                  <c:v>Mulher Transexual</c:v>
                </c:pt>
                <c:pt idx="7">
                  <c:v>Prefiro não responder</c:v>
                </c:pt>
                <c:pt idx="8">
                  <c:v>Outro</c:v>
                </c:pt>
              </c:strCache>
            </c:strRef>
          </c:cat>
          <c:val>
            <c:numRef>
              <c:f>Análise!$B$91:$J$91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BC-476C-B90B-60E44E0DB39F}"/>
            </c:ext>
          </c:extLst>
        </c:ser>
        <c:ser>
          <c:idx val="1"/>
          <c:order val="1"/>
          <c:tx>
            <c:strRef>
              <c:f>Análise!$A$92</c:f>
              <c:strCache>
                <c:ptCount val="1"/>
                <c:pt idx="0">
                  <c:v>De 26 a 35</c:v>
                </c:pt>
              </c:strCache>
            </c:strRef>
          </c:tx>
          <c:spPr>
            <a:pattFill prst="ltUpDiag">
              <a:fgClr>
                <a:schemeClr val="dk1">
                  <a:tint val="550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550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Análise!$B$90:$J$90</c:f>
              <c:strCache>
                <c:ptCount val="9"/>
                <c:pt idx="0">
                  <c:v>Masculino</c:v>
                </c:pt>
                <c:pt idx="1">
                  <c:v>Feminino</c:v>
                </c:pt>
                <c:pt idx="2">
                  <c:v>Não sei responder</c:v>
                </c:pt>
                <c:pt idx="3">
                  <c:v>Homem transgênero</c:v>
                </c:pt>
                <c:pt idx="4">
                  <c:v>Mulher Transgênero</c:v>
                </c:pt>
                <c:pt idx="5">
                  <c:v>Homem Transexual</c:v>
                </c:pt>
                <c:pt idx="6">
                  <c:v>Mulher Transexual</c:v>
                </c:pt>
                <c:pt idx="7">
                  <c:v>Prefiro não responder</c:v>
                </c:pt>
                <c:pt idx="8">
                  <c:v>Outro</c:v>
                </c:pt>
              </c:strCache>
            </c:strRef>
          </c:cat>
          <c:val>
            <c:numRef>
              <c:f>Análise!$B$92:$J$92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BC-476C-B90B-60E44E0DB39F}"/>
            </c:ext>
          </c:extLst>
        </c:ser>
        <c:ser>
          <c:idx val="2"/>
          <c:order val="2"/>
          <c:tx>
            <c:strRef>
              <c:f>Análise!$A$93</c:f>
              <c:strCache>
                <c:ptCount val="1"/>
                <c:pt idx="0">
                  <c:v>De 36 a 45</c:v>
                </c:pt>
              </c:strCache>
            </c:strRef>
          </c:tx>
          <c:spPr>
            <a:pattFill prst="ltUpDiag">
              <a:fgClr>
                <a:schemeClr val="dk1">
                  <a:tint val="750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750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Análise!$B$90:$J$90</c:f>
              <c:strCache>
                <c:ptCount val="9"/>
                <c:pt idx="0">
                  <c:v>Masculino</c:v>
                </c:pt>
                <c:pt idx="1">
                  <c:v>Feminino</c:v>
                </c:pt>
                <c:pt idx="2">
                  <c:v>Não sei responder</c:v>
                </c:pt>
                <c:pt idx="3">
                  <c:v>Homem transgênero</c:v>
                </c:pt>
                <c:pt idx="4">
                  <c:v>Mulher Transgênero</c:v>
                </c:pt>
                <c:pt idx="5">
                  <c:v>Homem Transexual</c:v>
                </c:pt>
                <c:pt idx="6">
                  <c:v>Mulher Transexual</c:v>
                </c:pt>
                <c:pt idx="7">
                  <c:v>Prefiro não responder</c:v>
                </c:pt>
                <c:pt idx="8">
                  <c:v>Outro</c:v>
                </c:pt>
              </c:strCache>
            </c:strRef>
          </c:cat>
          <c:val>
            <c:numRef>
              <c:f>Análise!$B$93:$J$93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BC-476C-B90B-60E44E0DB39F}"/>
            </c:ext>
          </c:extLst>
        </c:ser>
        <c:ser>
          <c:idx val="3"/>
          <c:order val="3"/>
          <c:tx>
            <c:strRef>
              <c:f>Análise!$A$94</c:f>
              <c:strCache>
                <c:ptCount val="1"/>
                <c:pt idx="0">
                  <c:v>De 46 a 60</c:v>
                </c:pt>
              </c:strCache>
            </c:strRef>
          </c:tx>
          <c:spPr>
            <a:pattFill prst="ltUpDiag">
              <a:fgClr>
                <a:schemeClr val="dk1">
                  <a:tint val="985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985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Análise!$B$90:$J$90</c:f>
              <c:strCache>
                <c:ptCount val="9"/>
                <c:pt idx="0">
                  <c:v>Masculino</c:v>
                </c:pt>
                <c:pt idx="1">
                  <c:v>Feminino</c:v>
                </c:pt>
                <c:pt idx="2">
                  <c:v>Não sei responder</c:v>
                </c:pt>
                <c:pt idx="3">
                  <c:v>Homem transgênero</c:v>
                </c:pt>
                <c:pt idx="4">
                  <c:v>Mulher Transgênero</c:v>
                </c:pt>
                <c:pt idx="5">
                  <c:v>Homem Transexual</c:v>
                </c:pt>
                <c:pt idx="6">
                  <c:v>Mulher Transexual</c:v>
                </c:pt>
                <c:pt idx="7">
                  <c:v>Prefiro não responder</c:v>
                </c:pt>
                <c:pt idx="8">
                  <c:v>Outro</c:v>
                </c:pt>
              </c:strCache>
            </c:strRef>
          </c:cat>
          <c:val>
            <c:numRef>
              <c:f>Análise!$B$94:$J$94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BC-476C-B90B-60E44E0DB39F}"/>
            </c:ext>
          </c:extLst>
        </c:ser>
        <c:ser>
          <c:idx val="4"/>
          <c:order val="4"/>
          <c:tx>
            <c:strRef>
              <c:f>Análise!$A$95</c:f>
              <c:strCache>
                <c:ptCount val="1"/>
                <c:pt idx="0">
                  <c:v>Acima de 60</c:v>
                </c:pt>
              </c:strCache>
            </c:strRef>
          </c:tx>
          <c:spPr>
            <a:pattFill prst="ltUpDiag">
              <a:fgClr>
                <a:schemeClr val="dk1">
                  <a:tint val="300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300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Análise!$B$90:$J$90</c:f>
              <c:strCache>
                <c:ptCount val="9"/>
                <c:pt idx="0">
                  <c:v>Masculino</c:v>
                </c:pt>
                <c:pt idx="1">
                  <c:v>Feminino</c:v>
                </c:pt>
                <c:pt idx="2">
                  <c:v>Não sei responder</c:v>
                </c:pt>
                <c:pt idx="3">
                  <c:v>Homem transgênero</c:v>
                </c:pt>
                <c:pt idx="4">
                  <c:v>Mulher Transgênero</c:v>
                </c:pt>
                <c:pt idx="5">
                  <c:v>Homem Transexual</c:v>
                </c:pt>
                <c:pt idx="6">
                  <c:v>Mulher Transexual</c:v>
                </c:pt>
                <c:pt idx="7">
                  <c:v>Prefiro não responder</c:v>
                </c:pt>
                <c:pt idx="8">
                  <c:v>Outro</c:v>
                </c:pt>
              </c:strCache>
            </c:strRef>
          </c:cat>
          <c:val>
            <c:numRef>
              <c:f>Análise!$B$95:$J$95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BC-476C-B90B-60E44E0DB39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851954991"/>
        <c:axId val="1851966639"/>
      </c:barChart>
      <c:catAx>
        <c:axId val="1851954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dk1">
                <a:tint val="88500"/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66639"/>
        <c:crosses val="autoZero"/>
        <c:auto val="1"/>
        <c:lblAlgn val="ctr"/>
        <c:lblOffset val="100"/>
        <c:noMultiLvlLbl val="0"/>
      </c:catAx>
      <c:valAx>
        <c:axId val="1851966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1954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rgbClr val="0070C0"/>
    </a:solidFill>
    <a:ln w="15875" cap="flat" cmpd="sng" algn="ctr">
      <a:solidFill>
        <a:sysClr val="window" lastClr="FFFFFF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6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6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6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6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6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6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Lines="4" dropStyle="combo" dx="26" fmlaLink="Análise!$B$2" fmlaRange="Cursos" noThreeD="1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8.xml"/><Relationship Id="rId18" Type="http://schemas.openxmlformats.org/officeDocument/2006/relationships/chart" Target="../charts/chart13.xml"/><Relationship Id="rId26" Type="http://schemas.openxmlformats.org/officeDocument/2006/relationships/chart" Target="../charts/chart21.xml"/><Relationship Id="rId39" Type="http://schemas.openxmlformats.org/officeDocument/2006/relationships/chart" Target="../charts/chart34.xml"/><Relationship Id="rId21" Type="http://schemas.openxmlformats.org/officeDocument/2006/relationships/chart" Target="../charts/chart16.xml"/><Relationship Id="rId34" Type="http://schemas.openxmlformats.org/officeDocument/2006/relationships/chart" Target="../charts/chart29.xml"/><Relationship Id="rId7" Type="http://schemas.openxmlformats.org/officeDocument/2006/relationships/chart" Target="../charts/chart3.xml"/><Relationship Id="rId12" Type="http://schemas.openxmlformats.org/officeDocument/2006/relationships/chart" Target="../charts/chart7.xml"/><Relationship Id="rId17" Type="http://schemas.openxmlformats.org/officeDocument/2006/relationships/chart" Target="../charts/chart12.xml"/><Relationship Id="rId25" Type="http://schemas.openxmlformats.org/officeDocument/2006/relationships/chart" Target="../charts/chart20.xml"/><Relationship Id="rId33" Type="http://schemas.openxmlformats.org/officeDocument/2006/relationships/chart" Target="../charts/chart28.xml"/><Relationship Id="rId38" Type="http://schemas.openxmlformats.org/officeDocument/2006/relationships/chart" Target="../charts/chart33.xml"/><Relationship Id="rId2" Type="http://schemas.openxmlformats.org/officeDocument/2006/relationships/image" Target="../media/image2.png"/><Relationship Id="rId16" Type="http://schemas.openxmlformats.org/officeDocument/2006/relationships/chart" Target="../charts/chart11.xml"/><Relationship Id="rId20" Type="http://schemas.openxmlformats.org/officeDocument/2006/relationships/chart" Target="../charts/chart15.xml"/><Relationship Id="rId29" Type="http://schemas.openxmlformats.org/officeDocument/2006/relationships/chart" Target="../charts/chart24.xml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11" Type="http://schemas.openxmlformats.org/officeDocument/2006/relationships/chart" Target="../charts/chart6.xml"/><Relationship Id="rId24" Type="http://schemas.openxmlformats.org/officeDocument/2006/relationships/chart" Target="../charts/chart19.xml"/><Relationship Id="rId32" Type="http://schemas.openxmlformats.org/officeDocument/2006/relationships/chart" Target="../charts/chart27.xml"/><Relationship Id="rId37" Type="http://schemas.openxmlformats.org/officeDocument/2006/relationships/chart" Target="../charts/chart32.xml"/><Relationship Id="rId40" Type="http://schemas.openxmlformats.org/officeDocument/2006/relationships/chart" Target="../charts/chart35.xml"/><Relationship Id="rId5" Type="http://schemas.openxmlformats.org/officeDocument/2006/relationships/chart" Target="../charts/chart1.xml"/><Relationship Id="rId15" Type="http://schemas.openxmlformats.org/officeDocument/2006/relationships/chart" Target="../charts/chart10.xml"/><Relationship Id="rId23" Type="http://schemas.openxmlformats.org/officeDocument/2006/relationships/chart" Target="../charts/chart18.xml"/><Relationship Id="rId28" Type="http://schemas.openxmlformats.org/officeDocument/2006/relationships/chart" Target="../charts/chart23.xml"/><Relationship Id="rId36" Type="http://schemas.openxmlformats.org/officeDocument/2006/relationships/chart" Target="../charts/chart31.xml"/><Relationship Id="rId10" Type="http://schemas.openxmlformats.org/officeDocument/2006/relationships/chart" Target="../charts/chart5.xml"/><Relationship Id="rId19" Type="http://schemas.openxmlformats.org/officeDocument/2006/relationships/chart" Target="../charts/chart14.xml"/><Relationship Id="rId31" Type="http://schemas.openxmlformats.org/officeDocument/2006/relationships/chart" Target="../charts/chart26.xml"/><Relationship Id="rId4" Type="http://schemas.openxmlformats.org/officeDocument/2006/relationships/hyperlink" Target="#Base!A1"/><Relationship Id="rId9" Type="http://schemas.openxmlformats.org/officeDocument/2006/relationships/chart" Target="../charts/chart4.xml"/><Relationship Id="rId14" Type="http://schemas.openxmlformats.org/officeDocument/2006/relationships/chart" Target="../charts/chart9.xml"/><Relationship Id="rId22" Type="http://schemas.openxmlformats.org/officeDocument/2006/relationships/chart" Target="../charts/chart17.xml"/><Relationship Id="rId27" Type="http://schemas.openxmlformats.org/officeDocument/2006/relationships/chart" Target="../charts/chart22.xml"/><Relationship Id="rId30" Type="http://schemas.openxmlformats.org/officeDocument/2006/relationships/chart" Target="../charts/chart25.xml"/><Relationship Id="rId35" Type="http://schemas.openxmlformats.org/officeDocument/2006/relationships/chart" Target="../charts/chart30.xml"/><Relationship Id="rId8" Type="http://schemas.openxmlformats.org/officeDocument/2006/relationships/image" Target="../media/image3.png"/><Relationship Id="rId3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Plan2!A1"/><Relationship Id="rId1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562780</xdr:colOff>
      <xdr:row>0</xdr:row>
      <xdr:rowOff>0</xdr:rowOff>
    </xdr:from>
    <xdr:to>
      <xdr:col>27</xdr:col>
      <xdr:colOff>552027</xdr:colOff>
      <xdr:row>4</xdr:row>
      <xdr:rowOff>133350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64380" y="0"/>
          <a:ext cx="3646847" cy="876300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0</xdr:row>
      <xdr:rowOff>22861</xdr:rowOff>
    </xdr:from>
    <xdr:to>
      <xdr:col>4</xdr:col>
      <xdr:colOff>38100</xdr:colOff>
      <xdr:row>4</xdr:row>
      <xdr:rowOff>152401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2861"/>
          <a:ext cx="1790700" cy="876300"/>
        </a:xfrm>
        <a:prstGeom prst="rect">
          <a:avLst/>
        </a:prstGeom>
      </xdr:spPr>
    </xdr:pic>
    <xdr:clientData/>
  </xdr:twoCellAnchor>
  <xdr:twoCellAnchor>
    <xdr:from>
      <xdr:col>0</xdr:col>
      <xdr:colOff>487680</xdr:colOff>
      <xdr:row>6</xdr:row>
      <xdr:rowOff>45720</xdr:rowOff>
    </xdr:from>
    <xdr:to>
      <xdr:col>3</xdr:col>
      <xdr:colOff>106680</xdr:colOff>
      <xdr:row>8</xdr:row>
      <xdr:rowOff>106680</xdr:rowOff>
    </xdr:to>
    <xdr:sp macro="" textlink="">
      <xdr:nvSpPr>
        <xdr:cNvPr id="5" name="Retângulo de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87680" y="1158240"/>
          <a:ext cx="1447800" cy="426720"/>
        </a:xfrm>
        <a:prstGeom prst="round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latin typeface="Arial Black" pitchFamily="34" charset="0"/>
            </a:rPr>
            <a:t>Início</a:t>
          </a:r>
        </a:p>
      </xdr:txBody>
    </xdr:sp>
    <xdr:clientData/>
  </xdr:twoCellAnchor>
  <xdr:twoCellAnchor>
    <xdr:from>
      <xdr:col>3</xdr:col>
      <xdr:colOff>289560</xdr:colOff>
      <xdr:row>6</xdr:row>
      <xdr:rowOff>53340</xdr:rowOff>
    </xdr:from>
    <xdr:to>
      <xdr:col>5</xdr:col>
      <xdr:colOff>518160</xdr:colOff>
      <xdr:row>8</xdr:row>
      <xdr:rowOff>114300</xdr:rowOff>
    </xdr:to>
    <xdr:sp macro="" textlink="">
      <xdr:nvSpPr>
        <xdr:cNvPr id="6" name="Retângulo de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118360" y="1165860"/>
          <a:ext cx="1447800" cy="426720"/>
        </a:xfrm>
        <a:prstGeom prst="round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latin typeface="Arial Black" pitchFamily="34" charset="0"/>
            </a:rPr>
            <a:t>Dados</a:t>
          </a:r>
        </a:p>
      </xdr:txBody>
    </xdr:sp>
    <xdr:clientData/>
  </xdr:twoCellAnchor>
  <xdr:oneCellAnchor>
    <xdr:from>
      <xdr:col>0</xdr:col>
      <xdr:colOff>219074</xdr:colOff>
      <xdr:row>8</xdr:row>
      <xdr:rowOff>152400</xdr:rowOff>
    </xdr:from>
    <xdr:ext cx="1758316" cy="526363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19074" y="1619250"/>
          <a:ext cx="1758316" cy="5263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2400">
              <a:solidFill>
                <a:schemeClr val="bg1"/>
              </a:solidFill>
              <a:latin typeface="Arial Black" panose="020B0A04020102020204" pitchFamily="34" charset="0"/>
            </a:rPr>
            <a:t>Cursos:</a:t>
          </a:r>
        </a:p>
      </xdr:txBody>
    </xdr:sp>
    <xdr:clientData/>
  </xdr:oneCellAnchor>
  <xdr:twoCellAnchor>
    <xdr:from>
      <xdr:col>9</xdr:col>
      <xdr:colOff>281940</xdr:colOff>
      <xdr:row>12</xdr:row>
      <xdr:rowOff>19050</xdr:rowOff>
    </xdr:from>
    <xdr:to>
      <xdr:col>17</xdr:col>
      <xdr:colOff>512445</xdr:colOff>
      <xdr:row>31</xdr:row>
      <xdr:rowOff>91440</xdr:rowOff>
    </xdr:to>
    <xdr:graphicFrame macro="[0]!Dropdown3_Alteração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257175</xdr:colOff>
      <xdr:row>32</xdr:row>
      <xdr:rowOff>38100</xdr:rowOff>
    </xdr:from>
    <xdr:ext cx="1651635" cy="526363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57175" y="5848350"/>
          <a:ext cx="1651635" cy="5263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2400">
              <a:solidFill>
                <a:schemeClr val="bg1"/>
              </a:solidFill>
              <a:latin typeface="Arial Black" panose="020B0A04020102020204" pitchFamily="34" charset="0"/>
            </a:rPr>
            <a:t>Moradia:</a:t>
          </a:r>
        </a:p>
      </xdr:txBody>
    </xdr:sp>
    <xdr:clientData/>
  </xdr:oneCellAnchor>
  <xdr:oneCellAnchor>
    <xdr:from>
      <xdr:col>0</xdr:col>
      <xdr:colOff>228599</xdr:colOff>
      <xdr:row>74</xdr:row>
      <xdr:rowOff>150495</xdr:rowOff>
    </xdr:from>
    <xdr:ext cx="2990851" cy="52636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28599" y="13561695"/>
          <a:ext cx="2990851" cy="5263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2400">
              <a:solidFill>
                <a:schemeClr val="bg1"/>
              </a:solidFill>
              <a:latin typeface="Arial Black" panose="020B0A04020102020204" pitchFamily="34" charset="0"/>
            </a:rPr>
            <a:t>Dados Pessoais:</a:t>
          </a:r>
        </a:p>
      </xdr:txBody>
    </xdr:sp>
    <xdr:clientData/>
  </xdr:oneCellAnchor>
  <xdr:oneCellAnchor>
    <xdr:from>
      <xdr:col>0</xdr:col>
      <xdr:colOff>249554</xdr:colOff>
      <xdr:row>164</xdr:row>
      <xdr:rowOff>11430</xdr:rowOff>
    </xdr:from>
    <xdr:ext cx="1695451" cy="526363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249554" y="29710380"/>
          <a:ext cx="1695451" cy="5263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2400">
              <a:solidFill>
                <a:schemeClr val="bg1"/>
              </a:solidFill>
              <a:latin typeface="Arial Black" panose="020B0A04020102020204" pitchFamily="34" charset="0"/>
            </a:rPr>
            <a:t>Estudos:</a:t>
          </a:r>
        </a:p>
      </xdr:txBody>
    </xdr:sp>
    <xdr:clientData/>
  </xdr:oneCellAnchor>
  <xdr:oneCellAnchor>
    <xdr:from>
      <xdr:col>0</xdr:col>
      <xdr:colOff>228600</xdr:colOff>
      <xdr:row>208</xdr:row>
      <xdr:rowOff>5715</xdr:rowOff>
    </xdr:from>
    <xdr:ext cx="1809750" cy="526363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28600" y="37667565"/>
          <a:ext cx="1809750" cy="5263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2400">
              <a:solidFill>
                <a:schemeClr val="bg1"/>
              </a:solidFill>
              <a:latin typeface="Arial Black" panose="020B0A04020102020204" pitchFamily="34" charset="0"/>
            </a:rPr>
            <a:t>Trabalho:</a:t>
          </a:r>
        </a:p>
      </xdr:txBody>
    </xdr:sp>
    <xdr:clientData/>
  </xdr:oneCellAnchor>
  <xdr:oneCellAnchor>
    <xdr:from>
      <xdr:col>0</xdr:col>
      <xdr:colOff>217170</xdr:colOff>
      <xdr:row>246</xdr:row>
      <xdr:rowOff>72390</xdr:rowOff>
    </xdr:from>
    <xdr:ext cx="2276475" cy="526363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217170" y="44611290"/>
          <a:ext cx="2276475" cy="5263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2400">
              <a:solidFill>
                <a:schemeClr val="bg1"/>
              </a:solidFill>
              <a:latin typeface="Arial Black" panose="020B0A04020102020204" pitchFamily="34" charset="0"/>
            </a:rPr>
            <a:t>Informática:</a:t>
          </a:r>
        </a:p>
      </xdr:txBody>
    </xdr:sp>
    <xdr:clientData/>
  </xdr:oneCellAnchor>
  <xdr:twoCellAnchor>
    <xdr:from>
      <xdr:col>9</xdr:col>
      <xdr:colOff>36195</xdr:colOff>
      <xdr:row>249</xdr:row>
      <xdr:rowOff>114300</xdr:rowOff>
    </xdr:from>
    <xdr:to>
      <xdr:col>17</xdr:col>
      <xdr:colOff>228600</xdr:colOff>
      <xdr:row>267</xdr:row>
      <xdr:rowOff>43815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0</xdr:col>
      <xdr:colOff>264795</xdr:colOff>
      <xdr:row>291</xdr:row>
      <xdr:rowOff>139065</xdr:rowOff>
    </xdr:from>
    <xdr:ext cx="1504950" cy="526363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264795" y="52821840"/>
          <a:ext cx="1504950" cy="5263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2400">
              <a:solidFill>
                <a:schemeClr val="bg1"/>
              </a:solidFill>
              <a:latin typeface="Arial Black" panose="020B0A04020102020204" pitchFamily="34" charset="0"/>
            </a:rPr>
            <a:t>Leitura:</a:t>
          </a:r>
        </a:p>
      </xdr:txBody>
    </xdr:sp>
    <xdr:clientData/>
  </xdr:oneCellAnchor>
  <xdr:twoCellAnchor>
    <xdr:from>
      <xdr:col>0</xdr:col>
      <xdr:colOff>76200</xdr:colOff>
      <xdr:row>318</xdr:row>
      <xdr:rowOff>19050</xdr:rowOff>
    </xdr:from>
    <xdr:to>
      <xdr:col>22</xdr:col>
      <xdr:colOff>133350</xdr:colOff>
      <xdr:row>342</xdr:row>
      <xdr:rowOff>179070</xdr:rowOff>
    </xdr:to>
    <xdr:graphicFrame macro="">
      <xdr:nvGraphicFramePr>
        <xdr:cNvPr id="67" name="Gráfico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18</xdr:col>
      <xdr:colOff>175259</xdr:colOff>
      <xdr:row>14</xdr:row>
      <xdr:rowOff>15240</xdr:rowOff>
    </xdr:from>
    <xdr:to>
      <xdr:col>28</xdr:col>
      <xdr:colOff>418814</xdr:colOff>
      <xdr:row>29</xdr:row>
      <xdr:rowOff>43815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biLevel thresh="25000"/>
          <a:alphaModFix amt="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8059" y="2567940"/>
          <a:ext cx="6339555" cy="2743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480060</xdr:colOff>
          <xdr:row>6</xdr:row>
          <xdr:rowOff>38100</xdr:rowOff>
        </xdr:from>
        <xdr:to>
          <xdr:col>27</xdr:col>
          <xdr:colOff>137160</xdr:colOff>
          <xdr:row>8</xdr:row>
          <xdr:rowOff>137160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154307</xdr:colOff>
      <xdr:row>117</xdr:row>
      <xdr:rowOff>163831</xdr:rowOff>
    </xdr:from>
    <xdr:to>
      <xdr:col>16</xdr:col>
      <xdr:colOff>342900</xdr:colOff>
      <xdr:row>146</xdr:row>
      <xdr:rowOff>17145</xdr:rowOff>
    </xdr:to>
    <xdr:graphicFrame macro="">
      <xdr:nvGraphicFramePr>
        <xdr:cNvPr id="70" name="Gráfico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190500</xdr:colOff>
      <xdr:row>35</xdr:row>
      <xdr:rowOff>38100</xdr:rowOff>
    </xdr:from>
    <xdr:to>
      <xdr:col>9</xdr:col>
      <xdr:colOff>152400</xdr:colOff>
      <xdr:row>54</xdr:row>
      <xdr:rowOff>76201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342901</xdr:colOff>
      <xdr:row>78</xdr:row>
      <xdr:rowOff>57150</xdr:rowOff>
    </xdr:from>
    <xdr:to>
      <xdr:col>29</xdr:col>
      <xdr:colOff>76200</xdr:colOff>
      <xdr:row>97</xdr:row>
      <xdr:rowOff>57150</xdr:rowOff>
    </xdr:to>
    <xdr:graphicFrame macro="">
      <xdr:nvGraphicFramePr>
        <xdr:cNvPr id="75" name="Gráfico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14</xdr:col>
      <xdr:colOff>379096</xdr:colOff>
      <xdr:row>78</xdr:row>
      <xdr:rowOff>40005</xdr:rowOff>
    </xdr:from>
    <xdr:to>
      <xdr:col>22</xdr:col>
      <xdr:colOff>240030</xdr:colOff>
      <xdr:row>97</xdr:row>
      <xdr:rowOff>57150</xdr:rowOff>
    </xdr:to>
    <xdr:graphicFrame macro="">
      <xdr:nvGraphicFramePr>
        <xdr:cNvPr id="77" name="Gráfico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358140</xdr:colOff>
      <xdr:row>35</xdr:row>
      <xdr:rowOff>38100</xdr:rowOff>
    </xdr:from>
    <xdr:to>
      <xdr:col>17</xdr:col>
      <xdr:colOff>590550</xdr:colOff>
      <xdr:row>54</xdr:row>
      <xdr:rowOff>64770</xdr:rowOff>
    </xdr:to>
    <xdr:graphicFrame macro="">
      <xdr:nvGraphicFramePr>
        <xdr:cNvPr id="78" name="Gráfico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365757</xdr:colOff>
      <xdr:row>55</xdr:row>
      <xdr:rowOff>19050</xdr:rowOff>
    </xdr:from>
    <xdr:to>
      <xdr:col>17</xdr:col>
      <xdr:colOff>581024</xdr:colOff>
      <xdr:row>74</xdr:row>
      <xdr:rowOff>38100</xdr:rowOff>
    </xdr:to>
    <xdr:graphicFrame macro="">
      <xdr:nvGraphicFramePr>
        <xdr:cNvPr id="79" name="Gráfico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163830</xdr:colOff>
      <xdr:row>98</xdr:row>
      <xdr:rowOff>7620</xdr:rowOff>
    </xdr:from>
    <xdr:to>
      <xdr:col>9</xdr:col>
      <xdr:colOff>26670</xdr:colOff>
      <xdr:row>117</xdr:row>
      <xdr:rowOff>26670</xdr:rowOff>
    </xdr:to>
    <xdr:graphicFrame macro="">
      <xdr:nvGraphicFramePr>
        <xdr:cNvPr id="80" name="Gráfico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219075</xdr:colOff>
      <xdr:row>12</xdr:row>
      <xdr:rowOff>17145</xdr:rowOff>
    </xdr:from>
    <xdr:to>
      <xdr:col>9</xdr:col>
      <xdr:colOff>152399</xdr:colOff>
      <xdr:row>31</xdr:row>
      <xdr:rowOff>91440</xdr:rowOff>
    </xdr:to>
    <xdr:graphicFrame macro="">
      <xdr:nvGraphicFramePr>
        <xdr:cNvPr id="81" name="Gráfico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150494</xdr:colOff>
      <xdr:row>98</xdr:row>
      <xdr:rowOff>11429</xdr:rowOff>
    </xdr:from>
    <xdr:to>
      <xdr:col>17</xdr:col>
      <xdr:colOff>373379</xdr:colOff>
      <xdr:row>117</xdr:row>
      <xdr:rowOff>38099</xdr:rowOff>
    </xdr:to>
    <xdr:graphicFrame macro="">
      <xdr:nvGraphicFramePr>
        <xdr:cNvPr id="82" name="Gráfico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333375</xdr:colOff>
      <xdr:row>268</xdr:row>
      <xdr:rowOff>26670</xdr:rowOff>
    </xdr:from>
    <xdr:to>
      <xdr:col>28</xdr:col>
      <xdr:colOff>377190</xdr:colOff>
      <xdr:row>290</xdr:row>
      <xdr:rowOff>81915</xdr:rowOff>
    </xdr:to>
    <xdr:graphicFrame macro="">
      <xdr:nvGraphicFramePr>
        <xdr:cNvPr id="83" name="Gráfico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268</xdr:row>
      <xdr:rowOff>11430</xdr:rowOff>
    </xdr:from>
    <xdr:to>
      <xdr:col>17</xdr:col>
      <xdr:colOff>228600</xdr:colOff>
      <xdr:row>290</xdr:row>
      <xdr:rowOff>81915</xdr:rowOff>
    </xdr:to>
    <xdr:graphicFrame macro="">
      <xdr:nvGraphicFramePr>
        <xdr:cNvPr id="84" name="Gráfico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18</xdr:col>
      <xdr:colOff>209550</xdr:colOff>
      <xdr:row>168</xdr:row>
      <xdr:rowOff>19050</xdr:rowOff>
    </xdr:from>
    <xdr:to>
      <xdr:col>29</xdr:col>
      <xdr:colOff>152400</xdr:colOff>
      <xdr:row>190</xdr:row>
      <xdr:rowOff>110490</xdr:rowOff>
    </xdr:to>
    <xdr:graphicFrame macro="">
      <xdr:nvGraphicFramePr>
        <xdr:cNvPr id="85" name="Gráfico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78104</xdr:colOff>
      <xdr:row>295</xdr:row>
      <xdr:rowOff>26670</xdr:rowOff>
    </xdr:from>
    <xdr:to>
      <xdr:col>13</xdr:col>
      <xdr:colOff>285750</xdr:colOff>
      <xdr:row>316</xdr:row>
      <xdr:rowOff>177165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18</xdr:col>
      <xdr:colOff>135255</xdr:colOff>
      <xdr:row>35</xdr:row>
      <xdr:rowOff>19049</xdr:rowOff>
    </xdr:from>
    <xdr:to>
      <xdr:col>28</xdr:col>
      <xdr:colOff>428625</xdr:colOff>
      <xdr:row>54</xdr:row>
      <xdr:rowOff>57149</xdr:rowOff>
    </xdr:to>
    <xdr:graphicFrame macro="">
      <xdr:nvGraphicFramePr>
        <xdr:cNvPr id="65" name="Gráfico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18</xdr:col>
      <xdr:colOff>133349</xdr:colOff>
      <xdr:row>55</xdr:row>
      <xdr:rowOff>19050</xdr:rowOff>
    </xdr:from>
    <xdr:to>
      <xdr:col>28</xdr:col>
      <xdr:colOff>428625</xdr:colOff>
      <xdr:row>74</xdr:row>
      <xdr:rowOff>17145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205740</xdr:colOff>
      <xdr:row>55</xdr:row>
      <xdr:rowOff>15240</xdr:rowOff>
    </xdr:from>
    <xdr:to>
      <xdr:col>9</xdr:col>
      <xdr:colOff>200025</xdr:colOff>
      <xdr:row>74</xdr:row>
      <xdr:rowOff>26670</xdr:rowOff>
    </xdr:to>
    <xdr:graphicFrame macro="">
      <xdr:nvGraphicFramePr>
        <xdr:cNvPr id="73" name="Gráfico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17</xdr:col>
      <xdr:colOff>497205</xdr:colOff>
      <xdr:row>98</xdr:row>
      <xdr:rowOff>15240</xdr:rowOff>
    </xdr:from>
    <xdr:to>
      <xdr:col>29</xdr:col>
      <xdr:colOff>57150</xdr:colOff>
      <xdr:row>117</xdr:row>
      <xdr:rowOff>19050</xdr:rowOff>
    </xdr:to>
    <xdr:graphicFrame macro="">
      <xdr:nvGraphicFramePr>
        <xdr:cNvPr id="74" name="Gráfico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16</xdr:col>
      <xdr:colOff>440054</xdr:colOff>
      <xdr:row>118</xdr:row>
      <xdr:rowOff>1903</xdr:rowOff>
    </xdr:from>
    <xdr:to>
      <xdr:col>29</xdr:col>
      <xdr:colOff>57150</xdr:colOff>
      <xdr:row>146</xdr:row>
      <xdr:rowOff>26670</xdr:rowOff>
    </xdr:to>
    <xdr:graphicFrame macro="">
      <xdr:nvGraphicFramePr>
        <xdr:cNvPr id="76" name="Gráfico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135255</xdr:colOff>
      <xdr:row>146</xdr:row>
      <xdr:rowOff>152400</xdr:rowOff>
    </xdr:from>
    <xdr:to>
      <xdr:col>10</xdr:col>
      <xdr:colOff>502920</xdr:colOff>
      <xdr:row>163</xdr:row>
      <xdr:rowOff>116205</xdr:rowOff>
    </xdr:to>
    <xdr:graphicFrame macro="">
      <xdr:nvGraphicFramePr>
        <xdr:cNvPr id="86" name="Gráfico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11</xdr:col>
      <xdr:colOff>49530</xdr:colOff>
      <xdr:row>146</xdr:row>
      <xdr:rowOff>152398</xdr:rowOff>
    </xdr:from>
    <xdr:to>
      <xdr:col>21</xdr:col>
      <xdr:colOff>409575</xdr:colOff>
      <xdr:row>163</xdr:row>
      <xdr:rowOff>104774</xdr:rowOff>
    </xdr:to>
    <xdr:graphicFrame macro="">
      <xdr:nvGraphicFramePr>
        <xdr:cNvPr id="87" name="Gráfico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21</xdr:col>
      <xdr:colOff>512445</xdr:colOff>
      <xdr:row>146</xdr:row>
      <xdr:rowOff>131445</xdr:rowOff>
    </xdr:from>
    <xdr:to>
      <xdr:col>29</xdr:col>
      <xdr:colOff>47625</xdr:colOff>
      <xdr:row>163</xdr:row>
      <xdr:rowOff>125730</xdr:rowOff>
    </xdr:to>
    <xdr:graphicFrame macro="">
      <xdr:nvGraphicFramePr>
        <xdr:cNvPr id="88" name="Gráfico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154305</xdr:colOff>
      <xdr:row>168</xdr:row>
      <xdr:rowOff>11431</xdr:rowOff>
    </xdr:from>
    <xdr:to>
      <xdr:col>8</xdr:col>
      <xdr:colOff>575309</xdr:colOff>
      <xdr:row>190</xdr:row>
      <xdr:rowOff>95251</xdr:rowOff>
    </xdr:to>
    <xdr:graphicFrame macro="">
      <xdr:nvGraphicFramePr>
        <xdr:cNvPr id="89" name="Gráfico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9</xdr:col>
      <xdr:colOff>95250</xdr:colOff>
      <xdr:row>168</xdr:row>
      <xdr:rowOff>19050</xdr:rowOff>
    </xdr:from>
    <xdr:to>
      <xdr:col>18</xdr:col>
      <xdr:colOff>95250</xdr:colOff>
      <xdr:row>190</xdr:row>
      <xdr:rowOff>95250</xdr:rowOff>
    </xdr:to>
    <xdr:graphicFrame macro="">
      <xdr:nvGraphicFramePr>
        <xdr:cNvPr id="90" name="Gráfico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142875</xdr:colOff>
      <xdr:row>191</xdr:row>
      <xdr:rowOff>76201</xdr:rowOff>
    </xdr:from>
    <xdr:to>
      <xdr:col>8</xdr:col>
      <xdr:colOff>449579</xdr:colOff>
      <xdr:row>207</xdr:row>
      <xdr:rowOff>110491</xdr:rowOff>
    </xdr:to>
    <xdr:graphicFrame macro="">
      <xdr:nvGraphicFramePr>
        <xdr:cNvPr id="91" name="Gráfico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9</xdr:col>
      <xdr:colOff>74295</xdr:colOff>
      <xdr:row>191</xdr:row>
      <xdr:rowOff>81915</xdr:rowOff>
    </xdr:from>
    <xdr:to>
      <xdr:col>18</xdr:col>
      <xdr:colOff>76200</xdr:colOff>
      <xdr:row>207</xdr:row>
      <xdr:rowOff>135255</xdr:rowOff>
    </xdr:to>
    <xdr:graphicFrame macro="">
      <xdr:nvGraphicFramePr>
        <xdr:cNvPr id="92" name="Gráfico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192404</xdr:colOff>
      <xdr:row>211</xdr:row>
      <xdr:rowOff>11430</xdr:rowOff>
    </xdr:from>
    <xdr:to>
      <xdr:col>8</xdr:col>
      <xdr:colOff>499109</xdr:colOff>
      <xdr:row>227</xdr:row>
      <xdr:rowOff>68580</xdr:rowOff>
    </xdr:to>
    <xdr:graphicFrame macro="">
      <xdr:nvGraphicFramePr>
        <xdr:cNvPr id="93" name="Gráfico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9</xdr:col>
      <xdr:colOff>186690</xdr:colOff>
      <xdr:row>211</xdr:row>
      <xdr:rowOff>32384</xdr:rowOff>
    </xdr:from>
    <xdr:to>
      <xdr:col>17</xdr:col>
      <xdr:colOff>570549</xdr:colOff>
      <xdr:row>227</xdr:row>
      <xdr:rowOff>76199</xdr:rowOff>
    </xdr:to>
    <xdr:graphicFrame macro="">
      <xdr:nvGraphicFramePr>
        <xdr:cNvPr id="94" name="Gráfico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18</xdr:col>
      <xdr:colOff>194309</xdr:colOff>
      <xdr:row>211</xdr:row>
      <xdr:rowOff>11430</xdr:rowOff>
    </xdr:from>
    <xdr:to>
      <xdr:col>27</xdr:col>
      <xdr:colOff>76199</xdr:colOff>
      <xdr:row>227</xdr:row>
      <xdr:rowOff>76200</xdr:rowOff>
    </xdr:to>
    <xdr:graphicFrame macro="">
      <xdr:nvGraphicFramePr>
        <xdr:cNvPr id="95" name="Gráfico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188595</xdr:colOff>
      <xdr:row>228</xdr:row>
      <xdr:rowOff>43815</xdr:rowOff>
    </xdr:from>
    <xdr:to>
      <xdr:col>8</xdr:col>
      <xdr:colOff>491490</xdr:colOff>
      <xdr:row>245</xdr:row>
      <xdr:rowOff>95250</xdr:rowOff>
    </xdr:to>
    <xdr:graphicFrame macro="">
      <xdr:nvGraphicFramePr>
        <xdr:cNvPr id="96" name="Gráfico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110490</xdr:colOff>
      <xdr:row>249</xdr:row>
      <xdr:rowOff>116204</xdr:rowOff>
    </xdr:from>
    <xdr:to>
      <xdr:col>8</xdr:col>
      <xdr:colOff>514350</xdr:colOff>
      <xdr:row>267</xdr:row>
      <xdr:rowOff>36195</xdr:rowOff>
    </xdr:to>
    <xdr:graphicFrame macro="">
      <xdr:nvGraphicFramePr>
        <xdr:cNvPr id="97" name="Gráfico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17</xdr:col>
      <xdr:colOff>339090</xdr:colOff>
      <xdr:row>249</xdr:row>
      <xdr:rowOff>81916</xdr:rowOff>
    </xdr:from>
    <xdr:to>
      <xdr:col>28</xdr:col>
      <xdr:colOff>381000</xdr:colOff>
      <xdr:row>267</xdr:row>
      <xdr:rowOff>43815</xdr:rowOff>
    </xdr:to>
    <xdr:graphicFrame macro="">
      <xdr:nvGraphicFramePr>
        <xdr:cNvPr id="98" name="Gráfico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oneCellAnchor>
    <xdr:from>
      <xdr:col>20</xdr:col>
      <xdr:colOff>238125</xdr:colOff>
      <xdr:row>5</xdr:row>
      <xdr:rowOff>171450</xdr:rowOff>
    </xdr:from>
    <xdr:ext cx="1449756" cy="526363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2430125" y="1095375"/>
          <a:ext cx="1449756" cy="5263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>
              <a:solidFill>
                <a:schemeClr val="bg1"/>
              </a:solidFill>
              <a:latin typeface="Arial Black" panose="020B0A04020102020204" pitchFamily="34" charset="0"/>
            </a:rPr>
            <a:t>Cursos:</a:t>
          </a:r>
        </a:p>
      </xdr:txBody>
    </xdr:sp>
    <xdr:clientData/>
  </xdr:oneCellAnchor>
  <xdr:twoCellAnchor>
    <xdr:from>
      <xdr:col>0</xdr:col>
      <xdr:colOff>171450</xdr:colOff>
      <xdr:row>78</xdr:row>
      <xdr:rowOff>40005</xdr:rowOff>
    </xdr:from>
    <xdr:to>
      <xdr:col>14</xdr:col>
      <xdr:colOff>310516</xdr:colOff>
      <xdr:row>97</xdr:row>
      <xdr:rowOff>55245</xdr:rowOff>
    </xdr:to>
    <xdr:graphicFrame macro="">
      <xdr:nvGraphicFramePr>
        <xdr:cNvPr id="55" name="Gráfico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 editAs="oneCell">
    <xdr:from>
      <xdr:col>18</xdr:col>
      <xdr:colOff>302895</xdr:colOff>
      <xdr:row>192</xdr:row>
      <xdr:rowOff>55245</xdr:rowOff>
    </xdr:from>
    <xdr:to>
      <xdr:col>28</xdr:col>
      <xdr:colOff>559785</xdr:colOff>
      <xdr:row>207</xdr:row>
      <xdr:rowOff>85725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biLevel thresh="25000"/>
          <a:alphaModFix amt="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5695" y="34821495"/>
          <a:ext cx="6352890" cy="27451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487680</xdr:colOff>
      <xdr:row>1</xdr:row>
      <xdr:rowOff>45720</xdr:rowOff>
    </xdr:from>
    <xdr:to>
      <xdr:col>3</xdr:col>
      <xdr:colOff>106680</xdr:colOff>
      <xdr:row>3</xdr:row>
      <xdr:rowOff>106680</xdr:rowOff>
    </xdr:to>
    <xdr:sp macro="" textlink="">
      <xdr:nvSpPr>
        <xdr:cNvPr id="4" name="Retângulo de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87680" y="1158240"/>
          <a:ext cx="1447800" cy="426720"/>
        </a:xfrm>
        <a:prstGeom prst="round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latin typeface="Arial Black" pitchFamily="34" charset="0"/>
            </a:rPr>
            <a:t>Início</a:t>
          </a:r>
        </a:p>
      </xdr:txBody>
    </xdr:sp>
    <xdr:clientData/>
  </xdr:twoCellAnchor>
  <xdr:twoCellAnchor>
    <xdr:from>
      <xdr:col>3</xdr:col>
      <xdr:colOff>289560</xdr:colOff>
      <xdr:row>1</xdr:row>
      <xdr:rowOff>53340</xdr:rowOff>
    </xdr:from>
    <xdr:to>
      <xdr:col>5</xdr:col>
      <xdr:colOff>518160</xdr:colOff>
      <xdr:row>3</xdr:row>
      <xdr:rowOff>114300</xdr:rowOff>
    </xdr:to>
    <xdr:sp macro="" textlink="">
      <xdr:nvSpPr>
        <xdr:cNvPr id="5" name="Retângulo de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118360" y="236220"/>
          <a:ext cx="1447800" cy="426720"/>
        </a:xfrm>
        <a:prstGeom prst="round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latin typeface="Arial Black" pitchFamily="34" charset="0"/>
            </a:rPr>
            <a:t>Dados</a:t>
          </a:r>
        </a:p>
      </xdr:txBody>
    </xdr:sp>
    <xdr:clientData/>
  </xdr:twoCellAnchor>
  <xdr:twoCellAnchor>
    <xdr:from>
      <xdr:col>1</xdr:col>
      <xdr:colOff>60960</xdr:colOff>
      <xdr:row>4</xdr:row>
      <xdr:rowOff>83820</xdr:rowOff>
    </xdr:from>
    <xdr:to>
      <xdr:col>4</xdr:col>
      <xdr:colOff>434340</xdr:colOff>
      <xdr:row>6</xdr:row>
      <xdr:rowOff>106680</xdr:rowOff>
    </xdr:to>
    <xdr:sp macro="[0]!Plan2.importarArquivo" textlink="">
      <xdr:nvSpPr>
        <xdr:cNvPr id="8" name="Retângulo de cantos arredondado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97180" y="868680"/>
          <a:ext cx="2202180" cy="388620"/>
        </a:xfrm>
        <a:prstGeom prst="round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0">
              <a:latin typeface="Arial Black" pitchFamily="34" charset="0"/>
            </a:rPr>
            <a:t>Carregar Nova</a:t>
          </a:r>
          <a:r>
            <a:rPr lang="pt-BR" sz="1400" b="0" baseline="0">
              <a:latin typeface="Arial Black" pitchFamily="34" charset="0"/>
            </a:rPr>
            <a:t> Base</a:t>
          </a:r>
          <a:endParaRPr lang="pt-BR" sz="1400" b="0">
            <a:latin typeface="Arial Black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AD345"/>
  <sheetViews>
    <sheetView tabSelected="1" zoomScaleNormal="100" workbookViewId="0">
      <selection sqref="A1:X5"/>
    </sheetView>
  </sheetViews>
  <sheetFormatPr defaultRowHeight="14.4" x14ac:dyDescent="0.3"/>
  <cols>
    <col min="1" max="16384" width="8.88671875" style="24"/>
  </cols>
  <sheetData>
    <row r="1" spans="1:30" ht="15.6" customHeight="1" x14ac:dyDescent="0.3">
      <c r="A1" s="44" t="s">
        <v>0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9"/>
      <c r="Z1" s="9"/>
      <c r="AA1" s="9"/>
      <c r="AB1" s="9"/>
      <c r="AC1" s="9"/>
      <c r="AD1" s="9"/>
    </row>
    <row r="2" spans="1:30" x14ac:dyDescent="0.3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>
        <v>1</v>
      </c>
      <c r="R2" s="44"/>
      <c r="S2" s="44"/>
      <c r="T2" s="44"/>
      <c r="U2" s="44"/>
      <c r="V2" s="44"/>
      <c r="W2" s="44"/>
      <c r="X2" s="44"/>
      <c r="Y2" s="9"/>
      <c r="Z2" s="9"/>
      <c r="AA2" s="9"/>
      <c r="AB2" s="9"/>
      <c r="AC2" s="9"/>
      <c r="AD2" s="9"/>
    </row>
    <row r="3" spans="1:30" x14ac:dyDescent="0.3">
      <c r="A3" s="44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9"/>
      <c r="Z3" s="9"/>
      <c r="AA3" s="9"/>
      <c r="AB3" s="9"/>
      <c r="AC3" s="9"/>
      <c r="AD3" s="9"/>
    </row>
    <row r="4" spans="1:30" x14ac:dyDescent="0.3">
      <c r="A4" s="44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9"/>
      <c r="Z4" s="9"/>
      <c r="AA4" s="9"/>
      <c r="AB4" s="9"/>
      <c r="AC4" s="9"/>
      <c r="AD4" s="9"/>
    </row>
    <row r="5" spans="1:30" x14ac:dyDescent="0.3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9"/>
      <c r="Z5" s="9"/>
      <c r="AA5" s="9"/>
      <c r="AB5" s="9"/>
      <c r="AC5" s="9"/>
      <c r="AD5" s="9"/>
    </row>
    <row r="6" spans="1:30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1:30" x14ac:dyDescent="0.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</row>
    <row r="10" spans="1:30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1:30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1:30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1:30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</row>
    <row r="20" spans="1:30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</row>
    <row r="21" spans="1:30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</row>
    <row r="22" spans="1:30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</row>
    <row r="23" spans="1:30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</row>
    <row r="24" spans="1:30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1:30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</row>
    <row r="26" spans="1:30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</row>
    <row r="27" spans="1:30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</row>
    <row r="28" spans="1:3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</row>
    <row r="29" spans="1:30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</row>
    <row r="30" spans="1:30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</row>
    <row r="31" spans="1:30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</row>
    <row r="32" spans="1:30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</row>
    <row r="33" spans="1:30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</row>
    <row r="34" spans="1:30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</row>
    <row r="35" spans="1:30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</row>
    <row r="36" spans="1:30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</row>
    <row r="37" spans="1:30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spans="1:30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</row>
    <row r="39" spans="1:30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</row>
    <row r="40" spans="1:30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</row>
    <row r="41" spans="1:30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</row>
    <row r="42" spans="1:30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</row>
    <row r="43" spans="1:30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</row>
    <row r="44" spans="1:30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</row>
    <row r="45" spans="1:30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</row>
    <row r="46" spans="1:30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</row>
    <row r="47" spans="1:30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</row>
    <row r="48" spans="1:30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</row>
    <row r="49" spans="1:30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</row>
    <row r="50" spans="1:30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</row>
    <row r="51" spans="1:30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</row>
    <row r="52" spans="1:30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</row>
    <row r="53" spans="1:30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</row>
    <row r="54" spans="1:30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</row>
    <row r="55" spans="1:30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</row>
    <row r="56" spans="1:30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</row>
    <row r="57" spans="1:30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</row>
    <row r="58" spans="1:30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</row>
    <row r="59" spans="1:30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</row>
    <row r="60" spans="1:30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</row>
    <row r="61" spans="1:30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</row>
    <row r="62" spans="1:30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</row>
    <row r="63" spans="1:30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</row>
    <row r="64" spans="1:30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</row>
    <row r="65" spans="1:30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</row>
    <row r="66" spans="1:30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</row>
    <row r="67" spans="1:30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</row>
    <row r="68" spans="1:30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</row>
    <row r="69" spans="1:30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</row>
    <row r="70" spans="1:30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</row>
    <row r="71" spans="1:30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</row>
    <row r="72" spans="1:30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</row>
    <row r="73" spans="1:30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</row>
    <row r="74" spans="1:30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</row>
    <row r="75" spans="1:30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</row>
    <row r="76" spans="1:30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</row>
    <row r="77" spans="1:30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</row>
    <row r="78" spans="1:30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</row>
    <row r="79" spans="1:30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</row>
    <row r="80" spans="1:30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</row>
    <row r="81" spans="1:30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</row>
    <row r="82" spans="1:30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</row>
    <row r="83" spans="1:30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</row>
    <row r="84" spans="1:30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</row>
    <row r="85" spans="1:30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</row>
    <row r="86" spans="1:30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</row>
    <row r="87" spans="1:30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</row>
    <row r="88" spans="1:30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</row>
    <row r="89" spans="1:30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</row>
    <row r="90" spans="1:30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</row>
    <row r="91" spans="1:30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</row>
    <row r="92" spans="1:30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</row>
    <row r="93" spans="1:30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</row>
    <row r="94" spans="1:30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</row>
    <row r="95" spans="1:30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</row>
    <row r="96" spans="1:30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</row>
    <row r="97" spans="1:30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</row>
    <row r="98" spans="1:30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</row>
    <row r="99" spans="1:30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</row>
    <row r="100" spans="1:30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</row>
    <row r="101" spans="1:30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</row>
    <row r="102" spans="1:30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</row>
    <row r="103" spans="1:30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</row>
    <row r="104" spans="1:30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</row>
    <row r="105" spans="1:30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</row>
    <row r="106" spans="1:30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</row>
    <row r="107" spans="1:30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</row>
    <row r="108" spans="1:30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</row>
    <row r="109" spans="1:30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</row>
    <row r="110" spans="1:30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</row>
    <row r="111" spans="1:30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</row>
    <row r="112" spans="1:30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</row>
    <row r="113" spans="1:30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</row>
    <row r="114" spans="1:30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</row>
    <row r="115" spans="1:30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</row>
    <row r="116" spans="1:30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</row>
    <row r="117" spans="1:30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</row>
    <row r="118" spans="1:30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</row>
    <row r="119" spans="1:30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</row>
    <row r="120" spans="1:30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</row>
    <row r="121" spans="1:30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</row>
    <row r="122" spans="1:30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</row>
    <row r="123" spans="1:30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</row>
    <row r="124" spans="1:30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</row>
    <row r="125" spans="1:30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</row>
    <row r="126" spans="1:30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</row>
    <row r="127" spans="1:30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</row>
    <row r="128" spans="1:30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</row>
    <row r="129" spans="1:30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</row>
    <row r="130" spans="1:30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</row>
    <row r="131" spans="1:30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</row>
    <row r="132" spans="1:30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</row>
    <row r="133" spans="1:30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</row>
    <row r="134" spans="1:30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</row>
    <row r="135" spans="1:30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</row>
    <row r="136" spans="1:30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</row>
    <row r="137" spans="1:30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</row>
    <row r="138" spans="1:30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</row>
    <row r="139" spans="1:30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</row>
    <row r="140" spans="1:30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</row>
    <row r="141" spans="1:30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</row>
    <row r="142" spans="1:30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</row>
    <row r="143" spans="1:30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</row>
    <row r="144" spans="1:30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</row>
    <row r="145" spans="1:30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</row>
    <row r="146" spans="1:30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</row>
    <row r="147" spans="1:30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</row>
    <row r="148" spans="1:30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</row>
    <row r="149" spans="1:30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</row>
    <row r="150" spans="1:30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</row>
    <row r="151" spans="1:30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</row>
    <row r="152" spans="1:30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</row>
    <row r="153" spans="1:30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</row>
    <row r="154" spans="1:30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</row>
    <row r="155" spans="1:30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</row>
    <row r="156" spans="1:30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</row>
    <row r="157" spans="1:30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</row>
    <row r="158" spans="1:30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</row>
    <row r="159" spans="1:30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</row>
    <row r="160" spans="1:30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</row>
    <row r="161" spans="1:30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</row>
    <row r="162" spans="1:30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</row>
    <row r="163" spans="1:30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</row>
    <row r="164" spans="1:30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</row>
    <row r="165" spans="1:30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</row>
    <row r="166" spans="1:30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</row>
    <row r="167" spans="1:30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</row>
    <row r="168" spans="1:30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</row>
    <row r="169" spans="1:30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</row>
    <row r="170" spans="1:30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</row>
    <row r="171" spans="1:30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</row>
    <row r="172" spans="1:30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</row>
    <row r="173" spans="1:30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</row>
    <row r="174" spans="1:30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</row>
    <row r="175" spans="1:30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</row>
    <row r="176" spans="1:30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</row>
    <row r="177" spans="1:30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</row>
    <row r="178" spans="1:30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</row>
    <row r="179" spans="1:30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</row>
    <row r="180" spans="1:30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</row>
    <row r="181" spans="1:30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</row>
    <row r="182" spans="1:30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</row>
    <row r="183" spans="1:30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</row>
    <row r="184" spans="1:30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</row>
    <row r="185" spans="1:30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</row>
    <row r="186" spans="1:30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</row>
    <row r="187" spans="1:30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</row>
    <row r="188" spans="1:30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</row>
    <row r="189" spans="1:30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</row>
    <row r="190" spans="1:30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</row>
    <row r="191" spans="1:30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</row>
    <row r="192" spans="1:30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</row>
    <row r="193" spans="1:30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</row>
    <row r="194" spans="1:30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</row>
    <row r="195" spans="1:30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</row>
    <row r="196" spans="1:30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</row>
    <row r="197" spans="1:30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</row>
    <row r="198" spans="1:30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</row>
    <row r="199" spans="1:30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</row>
    <row r="200" spans="1:30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</row>
    <row r="201" spans="1:30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</row>
    <row r="202" spans="1:30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</row>
    <row r="203" spans="1:30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</row>
    <row r="204" spans="1:30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</row>
    <row r="205" spans="1:30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</row>
    <row r="206" spans="1:30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</row>
    <row r="207" spans="1:30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</row>
    <row r="208" spans="1:30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</row>
    <row r="209" spans="1:30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</row>
    <row r="210" spans="1:30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</row>
    <row r="211" spans="1:30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</row>
    <row r="212" spans="1:30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</row>
    <row r="213" spans="1:30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</row>
    <row r="214" spans="1:30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</row>
    <row r="215" spans="1:30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</row>
    <row r="216" spans="1:30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</row>
    <row r="217" spans="1:30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</row>
    <row r="218" spans="1:30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</row>
    <row r="219" spans="1:30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</row>
    <row r="220" spans="1:30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</row>
    <row r="221" spans="1:30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</row>
    <row r="222" spans="1:30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</row>
    <row r="223" spans="1:30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</row>
    <row r="224" spans="1:30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</row>
    <row r="225" spans="1:30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</row>
    <row r="226" spans="1:30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</row>
    <row r="227" spans="1:30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</row>
    <row r="228" spans="1:30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</row>
    <row r="229" spans="1:30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</row>
    <row r="230" spans="1:30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</row>
    <row r="231" spans="1:30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</row>
    <row r="232" spans="1:30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</row>
    <row r="233" spans="1:30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</row>
    <row r="234" spans="1:30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</row>
    <row r="235" spans="1:30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</row>
    <row r="236" spans="1:30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</row>
    <row r="237" spans="1:30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</row>
    <row r="238" spans="1:30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</row>
    <row r="239" spans="1:30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</row>
    <row r="240" spans="1:30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</row>
    <row r="241" spans="1:30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</row>
    <row r="242" spans="1:30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</row>
    <row r="243" spans="1:30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</row>
    <row r="244" spans="1:30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</row>
    <row r="245" spans="1:30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</row>
    <row r="246" spans="1:30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</row>
    <row r="247" spans="1:30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</row>
    <row r="248" spans="1:30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</row>
    <row r="249" spans="1:30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</row>
    <row r="250" spans="1:30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</row>
    <row r="251" spans="1:30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</row>
    <row r="252" spans="1:30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</row>
    <row r="253" spans="1:30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</row>
    <row r="254" spans="1:30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</row>
    <row r="255" spans="1:30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</row>
    <row r="256" spans="1:30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</row>
    <row r="257" spans="1:30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</row>
    <row r="258" spans="1:30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</row>
    <row r="259" spans="1:30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</row>
    <row r="260" spans="1:30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</row>
    <row r="261" spans="1:30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</row>
    <row r="262" spans="1:30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</row>
    <row r="263" spans="1:30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</row>
    <row r="264" spans="1:30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</row>
    <row r="265" spans="1:30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</row>
    <row r="266" spans="1:30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</row>
    <row r="267" spans="1:30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</row>
    <row r="268" spans="1:30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</row>
    <row r="269" spans="1:30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</row>
    <row r="270" spans="1:30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</row>
    <row r="271" spans="1:30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</row>
    <row r="272" spans="1:30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</row>
    <row r="273" spans="1:30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</row>
    <row r="274" spans="1:30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</row>
    <row r="275" spans="1:30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</row>
    <row r="276" spans="1:30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</row>
    <row r="277" spans="1:30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</row>
    <row r="278" spans="1:30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</row>
    <row r="279" spans="1:30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</row>
    <row r="280" spans="1:30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</row>
    <row r="281" spans="1:30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</row>
    <row r="282" spans="1:30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</row>
    <row r="283" spans="1:30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</row>
    <row r="284" spans="1:30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</row>
    <row r="285" spans="1:30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</row>
    <row r="286" spans="1:30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</row>
    <row r="287" spans="1:30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</row>
    <row r="288" spans="1:30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</row>
    <row r="289" spans="1:30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</row>
    <row r="290" spans="1:30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</row>
    <row r="291" spans="1:30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</row>
    <row r="292" spans="1:30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</row>
    <row r="293" spans="1:30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</row>
    <row r="294" spans="1:30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</row>
    <row r="295" spans="1:30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</row>
    <row r="296" spans="1:30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</row>
    <row r="297" spans="1:30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</row>
    <row r="298" spans="1:30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</row>
    <row r="299" spans="1:30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</row>
    <row r="300" spans="1:30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</row>
    <row r="301" spans="1:30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</row>
    <row r="302" spans="1:30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</row>
    <row r="303" spans="1:30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</row>
    <row r="304" spans="1:30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</row>
    <row r="305" spans="1:30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</row>
    <row r="306" spans="1:30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</row>
    <row r="307" spans="1:30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</row>
    <row r="308" spans="1:30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</row>
    <row r="309" spans="1:30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</row>
    <row r="310" spans="1:30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</row>
    <row r="311" spans="1:30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</row>
    <row r="312" spans="1:30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</row>
    <row r="313" spans="1:30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</row>
    <row r="314" spans="1:30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</row>
    <row r="315" spans="1:30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</row>
    <row r="316" spans="1:30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</row>
    <row r="317" spans="1:30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</row>
    <row r="318" spans="1:30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</row>
    <row r="319" spans="1:30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</row>
    <row r="320" spans="1:30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</row>
    <row r="321" spans="1:30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</row>
    <row r="322" spans="1:30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</row>
    <row r="323" spans="1:30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</row>
    <row r="324" spans="1:30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</row>
    <row r="325" spans="1:30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</row>
    <row r="326" spans="1:30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</row>
    <row r="327" spans="1:30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</row>
    <row r="328" spans="1:30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</row>
    <row r="329" spans="1:30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</row>
    <row r="330" spans="1:30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</row>
    <row r="331" spans="1:30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</row>
    <row r="332" spans="1:30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</row>
    <row r="333" spans="1:30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</row>
    <row r="334" spans="1:30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</row>
    <row r="335" spans="1:30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</row>
    <row r="336" spans="1:30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</row>
    <row r="337" spans="1:30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</row>
    <row r="338" spans="1:30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</row>
    <row r="339" spans="1:30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</row>
    <row r="340" spans="1:30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</row>
    <row r="341" spans="1:30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</row>
    <row r="342" spans="1:30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</row>
    <row r="343" spans="1:30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</row>
    <row r="344" spans="1:30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</row>
    <row r="345" spans="1:30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</row>
  </sheetData>
  <mergeCells count="1">
    <mergeCell ref="A1:X5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Drop Down 3">
              <controlPr defaultSize="0" autoLine="0" autoPict="0" macro="[0]!Dropdown3_Alteração">
                <anchor moveWithCells="1">
                  <from>
                    <xdr:col>22</xdr:col>
                    <xdr:colOff>480060</xdr:colOff>
                    <xdr:row>6</xdr:row>
                    <xdr:rowOff>38100</xdr:rowOff>
                  </from>
                  <to>
                    <xdr:col>27</xdr:col>
                    <xdr:colOff>137160</xdr:colOff>
                    <xdr:row>8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DO7345"/>
  <sheetViews>
    <sheetView workbookViewId="0">
      <selection activeCell="BV7345" sqref="BV7345"/>
    </sheetView>
  </sheetViews>
  <sheetFormatPr defaultRowHeight="14.4" x14ac:dyDescent="0.3"/>
  <cols>
    <col min="1" max="1" width="3.44140625" style="3" customWidth="1"/>
    <col min="2" max="8" width="8.88671875" style="3"/>
    <col min="9" max="9" width="12.6640625" style="3" customWidth="1"/>
    <col min="10" max="73" width="8.88671875" style="3"/>
    <col min="74" max="16384" width="8.88671875" style="25"/>
  </cols>
  <sheetData>
    <row r="1" spans="1:119" s="3" customFormat="1" ht="18.600000000000001" customHeight="1" x14ac:dyDescent="0.3"/>
    <row r="2" spans="1:119" s="2" customFormat="1" x14ac:dyDescent="0.3">
      <c r="A2" s="45" t="s">
        <v>1</v>
      </c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</row>
    <row r="3" spans="1:119" s="2" customFormat="1" x14ac:dyDescent="0.3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</row>
    <row r="4" spans="1:119" s="2" customFormat="1" x14ac:dyDescent="0.3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</row>
    <row r="5" spans="1:119" s="3" customFormat="1" x14ac:dyDescent="0.3"/>
    <row r="6" spans="1:119" s="3" customFormat="1" x14ac:dyDescent="0.3"/>
    <row r="7" spans="1:119" s="3" customFormat="1" x14ac:dyDescent="0.3"/>
    <row r="8" spans="1:119" s="2" customFormat="1" x14ac:dyDescent="0.3"/>
    <row r="9" spans="1:119" x14ac:dyDescent="0.3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2" t="s">
        <v>284</v>
      </c>
      <c r="BW9" s="32"/>
      <c r="BX9" s="32"/>
      <c r="BY9" s="32"/>
      <c r="BZ9" s="32"/>
      <c r="CA9" s="32"/>
      <c r="CB9" s="32"/>
      <c r="CC9" s="32"/>
      <c r="CD9" s="32"/>
      <c r="CE9" s="32"/>
      <c r="CF9" s="32"/>
      <c r="CG9" s="32"/>
      <c r="DK9" s="26"/>
      <c r="DL9" s="26"/>
      <c r="DM9" s="26"/>
      <c r="DN9" s="26"/>
      <c r="DO9" s="26"/>
    </row>
    <row r="10" spans="1:119" x14ac:dyDescent="0.3">
      <c r="A10" s="38"/>
      <c r="B10" s="37"/>
      <c r="C10" s="37"/>
      <c r="D10" s="37"/>
      <c r="E10" s="37"/>
      <c r="F10" s="37"/>
      <c r="G10" s="37"/>
      <c r="H10" s="37"/>
      <c r="I10" s="39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2">
        <f ca="1">INT((TODAY()-$I10)/365)</f>
        <v>121</v>
      </c>
      <c r="BW10" s="32"/>
      <c r="BX10" s="32"/>
      <c r="BY10" s="32"/>
      <c r="BZ10" s="32"/>
      <c r="CA10" s="32"/>
      <c r="CB10" s="32"/>
      <c r="CC10" s="32"/>
      <c r="CD10" s="32"/>
      <c r="CE10" s="32"/>
      <c r="CF10" s="32"/>
      <c r="CG10" s="32"/>
      <c r="DK10" s="27"/>
      <c r="DL10" s="28"/>
      <c r="DM10" s="28"/>
      <c r="DN10" s="28"/>
      <c r="DO10" s="28"/>
    </row>
    <row r="11" spans="1:119" x14ac:dyDescent="0.3">
      <c r="A11" s="40"/>
      <c r="B11" s="37"/>
      <c r="C11" s="37"/>
      <c r="D11" s="37"/>
      <c r="E11" s="37"/>
      <c r="F11" s="37"/>
      <c r="G11" s="37"/>
      <c r="H11" s="37"/>
      <c r="I11" s="39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2">
        <f ca="1">INT((TODAY()-$I11)/365)</f>
        <v>121</v>
      </c>
      <c r="BW11" s="32"/>
      <c r="BX11" s="32"/>
      <c r="BY11" s="32"/>
      <c r="BZ11" s="32"/>
      <c r="CA11" s="32"/>
      <c r="CB11" s="32"/>
      <c r="CC11" s="32"/>
      <c r="CD11" s="32"/>
      <c r="CE11" s="32"/>
      <c r="CF11" s="32"/>
      <c r="CG11" s="32"/>
      <c r="DK11" s="27"/>
      <c r="DL11" s="28"/>
      <c r="DM11" s="28"/>
      <c r="DN11" s="28"/>
      <c r="DO11" s="28"/>
    </row>
    <row r="12" spans="1:119" x14ac:dyDescent="0.3">
      <c r="A12" s="38"/>
      <c r="B12" s="41"/>
      <c r="C12" s="37"/>
      <c r="D12" s="37"/>
      <c r="E12" s="37"/>
      <c r="F12" s="37"/>
      <c r="G12" s="37"/>
      <c r="H12" s="37"/>
      <c r="I12" s="39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/>
      <c r="BV12" s="32">
        <f ca="1">INT((TODAY()-$I12)/365)</f>
        <v>121</v>
      </c>
      <c r="BW12" s="32"/>
      <c r="BX12" s="32"/>
      <c r="BY12" s="32"/>
      <c r="BZ12" s="32"/>
      <c r="CA12" s="32"/>
      <c r="CB12" s="32"/>
      <c r="CC12" s="32"/>
      <c r="CD12" s="32"/>
      <c r="CE12" s="32"/>
      <c r="CF12" s="32"/>
      <c r="CG12" s="32"/>
      <c r="DK12" s="27"/>
      <c r="DL12" s="28"/>
      <c r="DM12" s="28"/>
      <c r="DN12" s="28"/>
      <c r="DO12" s="28"/>
    </row>
    <row r="13" spans="1:119" x14ac:dyDescent="0.3">
      <c r="A13" s="38"/>
      <c r="B13" s="37"/>
      <c r="C13" s="37"/>
      <c r="D13" s="37"/>
      <c r="E13" s="37"/>
      <c r="F13" s="37"/>
      <c r="G13" s="37"/>
      <c r="H13" s="37"/>
      <c r="I13" s="39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2">
        <f t="shared" ref="BV13:BV76" ca="1" si="0">INT((TODAY()-$I13)/365)</f>
        <v>121</v>
      </c>
      <c r="BW13" s="32"/>
      <c r="BX13" s="32"/>
      <c r="BY13" s="32"/>
      <c r="BZ13" s="32"/>
      <c r="CA13" s="32"/>
      <c r="CB13" s="32"/>
      <c r="CC13" s="32"/>
      <c r="CD13" s="32"/>
      <c r="CE13" s="32"/>
      <c r="CF13" s="32"/>
      <c r="CG13" s="32"/>
      <c r="DK13" s="27"/>
      <c r="DL13" s="28"/>
      <c r="DM13" s="28"/>
      <c r="DN13" s="28"/>
      <c r="DO13" s="28"/>
    </row>
    <row r="14" spans="1:119" x14ac:dyDescent="0.3">
      <c r="A14" s="40"/>
      <c r="B14" s="37"/>
      <c r="C14" s="37"/>
      <c r="D14" s="37"/>
      <c r="E14" s="37"/>
      <c r="F14" s="37"/>
      <c r="G14" s="37"/>
      <c r="H14" s="37"/>
      <c r="I14" s="39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41"/>
      <c r="BV14" s="32">
        <f t="shared" ca="1" si="0"/>
        <v>121</v>
      </c>
      <c r="BW14" s="32"/>
      <c r="BX14" s="32"/>
      <c r="BY14" s="32"/>
      <c r="BZ14" s="32"/>
      <c r="CA14" s="32"/>
      <c r="CB14" s="32"/>
      <c r="CC14" s="32"/>
      <c r="CD14" s="32"/>
      <c r="CE14" s="32"/>
      <c r="CF14" s="32"/>
      <c r="CG14" s="32"/>
      <c r="DK14" s="27"/>
      <c r="DL14" s="28"/>
      <c r="DM14" s="28"/>
      <c r="DN14" s="28"/>
      <c r="DO14" s="28"/>
    </row>
    <row r="15" spans="1:119" x14ac:dyDescent="0.3">
      <c r="A15" s="38"/>
      <c r="B15" s="37"/>
      <c r="C15" s="37"/>
      <c r="D15" s="37"/>
      <c r="E15" s="37"/>
      <c r="F15" s="37"/>
      <c r="G15" s="37"/>
      <c r="H15" s="37"/>
      <c r="I15" s="39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2">
        <f t="shared" ca="1" si="0"/>
        <v>121</v>
      </c>
      <c r="BW15" s="32"/>
      <c r="BX15" s="32"/>
      <c r="BY15" s="32"/>
      <c r="BZ15" s="32"/>
      <c r="CA15" s="32"/>
      <c r="CB15" s="32"/>
      <c r="CC15" s="32"/>
      <c r="CD15" s="32"/>
      <c r="CE15" s="32"/>
      <c r="CF15" s="32"/>
      <c r="CG15" s="32"/>
      <c r="DK15" s="27"/>
      <c r="DL15" s="28"/>
      <c r="DM15" s="28"/>
      <c r="DN15" s="28"/>
      <c r="DO15" s="28"/>
    </row>
    <row r="16" spans="1:119" x14ac:dyDescent="0.3">
      <c r="A16" s="38"/>
      <c r="B16" s="37"/>
      <c r="C16" s="37"/>
      <c r="D16" s="37"/>
      <c r="E16" s="37"/>
      <c r="F16" s="37"/>
      <c r="G16" s="37"/>
      <c r="H16" s="37"/>
      <c r="I16" s="39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42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2">
        <f t="shared" ca="1" si="0"/>
        <v>121</v>
      </c>
      <c r="BW16" s="32"/>
      <c r="BX16" s="32"/>
      <c r="BY16" s="32"/>
      <c r="BZ16" s="32"/>
      <c r="CA16" s="32"/>
      <c r="CB16" s="32"/>
      <c r="CC16" s="32"/>
      <c r="CD16" s="32"/>
      <c r="CE16" s="32"/>
      <c r="CF16" s="32"/>
      <c r="CG16" s="32"/>
      <c r="DK16" s="27"/>
      <c r="DL16" s="28"/>
      <c r="DM16" s="28"/>
      <c r="DN16" s="28"/>
      <c r="DO16" s="28"/>
    </row>
    <row r="17" spans="1:119" x14ac:dyDescent="0.3">
      <c r="A17" s="40"/>
      <c r="B17" s="37"/>
      <c r="C17" s="37"/>
      <c r="D17" s="37"/>
      <c r="E17" s="37"/>
      <c r="F17" s="37"/>
      <c r="G17" s="37"/>
      <c r="H17" s="37"/>
      <c r="I17" s="39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/>
      <c r="BV17" s="32">
        <f t="shared" ca="1" si="0"/>
        <v>121</v>
      </c>
      <c r="BW17" s="32"/>
      <c r="BX17" s="32"/>
      <c r="BY17" s="32"/>
      <c r="BZ17" s="32"/>
      <c r="CA17" s="32"/>
      <c r="CB17" s="32"/>
      <c r="CC17" s="32"/>
      <c r="CD17" s="32"/>
      <c r="CE17" s="32"/>
      <c r="CF17" s="32"/>
      <c r="CG17" s="32"/>
      <c r="DK17" s="27"/>
      <c r="DL17" s="28"/>
      <c r="DM17" s="28"/>
      <c r="DN17" s="28"/>
      <c r="DO17" s="28"/>
    </row>
    <row r="18" spans="1:119" x14ac:dyDescent="0.3">
      <c r="A18" s="40"/>
      <c r="B18" s="37"/>
      <c r="C18" s="37"/>
      <c r="D18" s="37"/>
      <c r="E18" s="37"/>
      <c r="F18" s="37"/>
      <c r="G18" s="37"/>
      <c r="H18" s="37"/>
      <c r="I18" s="39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2">
        <f t="shared" ca="1" si="0"/>
        <v>121</v>
      </c>
      <c r="BW18" s="32"/>
      <c r="BX18" s="32"/>
      <c r="BY18" s="32"/>
      <c r="BZ18" s="32"/>
      <c r="CA18" s="32"/>
      <c r="CB18" s="32"/>
      <c r="CC18" s="32"/>
      <c r="CD18" s="32"/>
      <c r="CE18" s="32"/>
      <c r="CF18" s="32"/>
      <c r="CG18" s="32"/>
      <c r="DK18" s="27"/>
      <c r="DL18" s="28"/>
      <c r="DM18" s="28"/>
      <c r="DN18" s="28"/>
      <c r="DO18" s="28"/>
    </row>
    <row r="19" spans="1:119" x14ac:dyDescent="0.3">
      <c r="A19" s="40"/>
      <c r="B19" s="37"/>
      <c r="C19" s="37"/>
      <c r="D19" s="37"/>
      <c r="E19" s="37"/>
      <c r="F19" s="37"/>
      <c r="G19" s="37"/>
      <c r="H19" s="37"/>
      <c r="I19" s="39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2">
        <f t="shared" ca="1" si="0"/>
        <v>121</v>
      </c>
      <c r="BW19" s="32"/>
      <c r="BX19" s="32"/>
      <c r="BY19" s="32"/>
      <c r="BZ19" s="32"/>
      <c r="CA19" s="32"/>
      <c r="CB19" s="32"/>
      <c r="CC19" s="32"/>
      <c r="CD19" s="32"/>
      <c r="CE19" s="32"/>
      <c r="CF19" s="32"/>
      <c r="CG19" s="32"/>
      <c r="DK19" s="27"/>
      <c r="DL19" s="28"/>
      <c r="DM19" s="28"/>
      <c r="DN19" s="28"/>
      <c r="DO19" s="28"/>
    </row>
    <row r="20" spans="1:119" x14ac:dyDescent="0.3">
      <c r="A20" s="40"/>
      <c r="B20" s="37"/>
      <c r="C20" s="37"/>
      <c r="D20" s="37"/>
      <c r="E20" s="37"/>
      <c r="F20" s="37"/>
      <c r="G20" s="37"/>
      <c r="H20" s="37"/>
      <c r="I20" s="39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2">
        <f t="shared" ca="1" si="0"/>
        <v>121</v>
      </c>
      <c r="BW20" s="32"/>
      <c r="BX20" s="32"/>
      <c r="BY20" s="32"/>
      <c r="BZ20" s="32"/>
      <c r="CA20" s="32"/>
      <c r="CB20" s="32"/>
      <c r="CC20" s="32"/>
      <c r="CD20" s="32"/>
      <c r="CE20" s="32"/>
      <c r="CF20" s="32"/>
      <c r="CG20" s="32"/>
      <c r="DK20" s="27"/>
      <c r="DL20" s="28"/>
      <c r="DM20" s="28"/>
      <c r="DN20" s="28"/>
      <c r="DO20" s="28"/>
    </row>
    <row r="21" spans="1:119" x14ac:dyDescent="0.3">
      <c r="A21" s="40"/>
      <c r="B21" s="37"/>
      <c r="C21" s="37"/>
      <c r="D21" s="37"/>
      <c r="E21" s="37"/>
      <c r="F21" s="37"/>
      <c r="G21" s="37"/>
      <c r="H21" s="37"/>
      <c r="I21" s="39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2">
        <f t="shared" ca="1" si="0"/>
        <v>121</v>
      </c>
      <c r="BW21" s="32"/>
      <c r="BX21" s="32"/>
      <c r="BY21" s="32"/>
      <c r="BZ21" s="32"/>
      <c r="CA21" s="32"/>
      <c r="CB21" s="32"/>
      <c r="CC21" s="32"/>
      <c r="CD21" s="32"/>
      <c r="CE21" s="32"/>
      <c r="CF21" s="32"/>
      <c r="CG21" s="32"/>
      <c r="DK21" s="27"/>
      <c r="DL21" s="28"/>
      <c r="DM21" s="28"/>
      <c r="DN21" s="28"/>
      <c r="DO21" s="28"/>
    </row>
    <row r="22" spans="1:119" x14ac:dyDescent="0.3">
      <c r="A22" s="40"/>
      <c r="B22" s="37"/>
      <c r="C22" s="37"/>
      <c r="D22" s="37"/>
      <c r="E22" s="37"/>
      <c r="F22" s="37"/>
      <c r="G22" s="37"/>
      <c r="H22" s="37"/>
      <c r="I22" s="39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/>
      <c r="BV22" s="32">
        <f t="shared" ca="1" si="0"/>
        <v>121</v>
      </c>
      <c r="BW22" s="32"/>
      <c r="BX22" s="32"/>
      <c r="BY22" s="32"/>
      <c r="BZ22" s="32"/>
      <c r="CA22" s="32"/>
      <c r="CB22" s="32"/>
      <c r="CC22" s="32"/>
      <c r="CD22" s="32"/>
      <c r="CE22" s="32"/>
      <c r="CF22" s="32"/>
      <c r="CG22" s="32"/>
      <c r="DK22" s="27"/>
      <c r="DL22" s="28"/>
      <c r="DM22" s="28"/>
      <c r="DN22" s="28"/>
      <c r="DO22" s="28"/>
    </row>
    <row r="23" spans="1:119" x14ac:dyDescent="0.3">
      <c r="A23" s="38"/>
      <c r="B23" s="37"/>
      <c r="C23" s="37"/>
      <c r="D23" s="37"/>
      <c r="E23" s="37"/>
      <c r="F23" s="37"/>
      <c r="G23" s="37"/>
      <c r="H23" s="37"/>
      <c r="I23" s="39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2">
        <f t="shared" ca="1" si="0"/>
        <v>121</v>
      </c>
      <c r="BW23" s="32"/>
      <c r="BX23" s="32"/>
      <c r="BY23" s="32"/>
      <c r="BZ23" s="32"/>
      <c r="CA23" s="32"/>
      <c r="CB23" s="32"/>
      <c r="CC23" s="32"/>
      <c r="CD23" s="32"/>
      <c r="CE23" s="32"/>
      <c r="CF23" s="32"/>
      <c r="CG23" s="32"/>
      <c r="DK23" s="27"/>
      <c r="DL23" s="28"/>
      <c r="DM23" s="28"/>
      <c r="DN23" s="28"/>
      <c r="DO23" s="28"/>
    </row>
    <row r="24" spans="1:119" x14ac:dyDescent="0.3">
      <c r="A24" s="40"/>
      <c r="B24" s="37"/>
      <c r="C24" s="37"/>
      <c r="D24" s="37"/>
      <c r="E24" s="37"/>
      <c r="F24" s="37"/>
      <c r="G24" s="37"/>
      <c r="H24" s="37"/>
      <c r="I24" s="39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7"/>
      <c r="BU24"/>
      <c r="BV24" s="32">
        <f t="shared" ca="1" si="0"/>
        <v>121</v>
      </c>
      <c r="BW24" s="32"/>
      <c r="BX24" s="32"/>
      <c r="BY24" s="32"/>
      <c r="BZ24" s="32"/>
      <c r="CA24" s="32"/>
      <c r="CB24" s="32"/>
      <c r="CC24" s="32"/>
      <c r="CD24" s="32"/>
      <c r="CE24" s="32"/>
      <c r="CF24" s="32"/>
      <c r="CG24" s="32"/>
      <c r="DK24" s="27"/>
      <c r="DL24" s="28"/>
      <c r="DM24" s="28"/>
      <c r="DN24" s="28"/>
      <c r="DO24" s="28"/>
    </row>
    <row r="25" spans="1:119" x14ac:dyDescent="0.3">
      <c r="A25" s="40"/>
      <c r="B25" s="37"/>
      <c r="C25" s="37"/>
      <c r="D25" s="37"/>
      <c r="E25" s="37"/>
      <c r="F25" s="37"/>
      <c r="G25" s="37"/>
      <c r="H25" s="37"/>
      <c r="I25" s="39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2">
        <f t="shared" ca="1" si="0"/>
        <v>121</v>
      </c>
      <c r="BW25" s="32"/>
      <c r="BX25" s="32"/>
      <c r="BY25" s="32"/>
      <c r="BZ25" s="32"/>
      <c r="CA25" s="32"/>
      <c r="CB25" s="32"/>
      <c r="CC25" s="32"/>
      <c r="CD25" s="32"/>
      <c r="CE25" s="32"/>
      <c r="CF25" s="32"/>
      <c r="CG25" s="32"/>
      <c r="DK25" s="27"/>
      <c r="DL25" s="28"/>
      <c r="DM25" s="28"/>
      <c r="DN25" s="28"/>
      <c r="DO25" s="28"/>
    </row>
    <row r="26" spans="1:119" x14ac:dyDescent="0.3">
      <c r="A26" s="40"/>
      <c r="B26" s="37"/>
      <c r="C26" s="37"/>
      <c r="D26" s="37"/>
      <c r="E26" s="37"/>
      <c r="F26" s="37"/>
      <c r="G26" s="37"/>
      <c r="H26" s="37"/>
      <c r="I26" s="39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2">
        <f t="shared" ca="1" si="0"/>
        <v>121</v>
      </c>
      <c r="BW26" s="32"/>
      <c r="BX26" s="32"/>
      <c r="BY26" s="32"/>
      <c r="BZ26" s="32"/>
      <c r="CA26" s="32"/>
      <c r="CB26" s="32"/>
      <c r="CC26" s="32"/>
      <c r="CD26" s="32"/>
      <c r="CE26" s="32"/>
      <c r="CF26" s="32"/>
      <c r="CG26" s="32"/>
      <c r="DK26" s="27"/>
      <c r="DL26" s="28"/>
      <c r="DM26" s="28"/>
      <c r="DN26" s="28"/>
      <c r="DO26" s="28"/>
    </row>
    <row r="27" spans="1:119" x14ac:dyDescent="0.3">
      <c r="A27" s="38"/>
      <c r="B27" s="41"/>
      <c r="C27" s="37"/>
      <c r="D27" s="37"/>
      <c r="E27" s="37"/>
      <c r="F27" s="37"/>
      <c r="G27" s="37"/>
      <c r="H27" s="37"/>
      <c r="I27" s="39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2">
        <f t="shared" ca="1" si="0"/>
        <v>121</v>
      </c>
      <c r="BW27" s="32"/>
      <c r="BX27" s="32"/>
      <c r="BY27" s="32"/>
      <c r="BZ27" s="32"/>
      <c r="CA27" s="32"/>
      <c r="CB27" s="32"/>
      <c r="CC27" s="32"/>
      <c r="CD27" s="32"/>
      <c r="CE27" s="32"/>
      <c r="CF27" s="32"/>
      <c r="CG27" s="32"/>
      <c r="DK27" s="27"/>
      <c r="DL27" s="28"/>
      <c r="DM27" s="28"/>
      <c r="DN27" s="28"/>
      <c r="DO27" s="28"/>
    </row>
    <row r="28" spans="1:119" x14ac:dyDescent="0.3">
      <c r="A28" s="40"/>
      <c r="B28" s="37"/>
      <c r="C28" s="37"/>
      <c r="D28" s="37"/>
      <c r="E28" s="37"/>
      <c r="F28" s="37"/>
      <c r="G28" s="37"/>
      <c r="H28" s="37"/>
      <c r="I28" s="39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2">
        <f t="shared" ca="1" si="0"/>
        <v>121</v>
      </c>
      <c r="BW28" s="32"/>
      <c r="BX28" s="32"/>
      <c r="BY28" s="32"/>
      <c r="BZ28" s="32"/>
      <c r="CA28" s="32"/>
      <c r="CB28" s="32"/>
      <c r="CC28" s="32"/>
      <c r="CD28" s="32"/>
      <c r="CE28" s="32"/>
      <c r="CF28" s="32"/>
      <c r="CG28" s="32"/>
      <c r="DK28" s="27"/>
      <c r="DL28" s="28"/>
      <c r="DM28" s="28"/>
      <c r="DN28" s="28"/>
      <c r="DO28" s="28"/>
    </row>
    <row r="29" spans="1:119" x14ac:dyDescent="0.3">
      <c r="A29" s="40"/>
      <c r="B29" s="37"/>
      <c r="C29" s="37"/>
      <c r="D29" s="37"/>
      <c r="E29" s="37"/>
      <c r="F29" s="37"/>
      <c r="G29" s="37"/>
      <c r="H29" s="37"/>
      <c r="I29" s="39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2">
        <f t="shared" ca="1" si="0"/>
        <v>121</v>
      </c>
      <c r="BW29" s="32"/>
      <c r="BX29" s="32"/>
      <c r="BY29" s="32"/>
      <c r="BZ29" s="32"/>
      <c r="CA29" s="32"/>
      <c r="CB29" s="32"/>
      <c r="CC29" s="32"/>
      <c r="CD29" s="32"/>
      <c r="CE29" s="32"/>
      <c r="CF29" s="32"/>
      <c r="CG29" s="32"/>
      <c r="DK29" s="27"/>
      <c r="DL29" s="28"/>
      <c r="DM29" s="28"/>
      <c r="DN29" s="28"/>
      <c r="DO29" s="28"/>
    </row>
    <row r="30" spans="1:119" x14ac:dyDescent="0.3">
      <c r="A30" s="40"/>
      <c r="B30" s="37"/>
      <c r="C30" s="37"/>
      <c r="D30" s="37"/>
      <c r="E30" s="37"/>
      <c r="F30" s="37"/>
      <c r="G30" s="37"/>
      <c r="H30" s="37"/>
      <c r="I30" s="39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2">
        <f t="shared" ca="1" si="0"/>
        <v>121</v>
      </c>
      <c r="BW30" s="32"/>
      <c r="BX30" s="32"/>
      <c r="BY30" s="32"/>
      <c r="BZ30" s="32"/>
      <c r="CA30" s="32"/>
      <c r="CB30" s="32"/>
      <c r="CC30" s="32"/>
      <c r="CD30" s="32"/>
      <c r="CE30" s="32"/>
      <c r="CF30" s="32"/>
      <c r="CG30" s="32"/>
      <c r="DK30" s="27"/>
      <c r="DL30" s="28"/>
      <c r="DM30" s="28"/>
      <c r="DN30" s="28"/>
      <c r="DO30" s="28"/>
    </row>
    <row r="31" spans="1:119" x14ac:dyDescent="0.3">
      <c r="A31" s="40"/>
      <c r="B31" s="37"/>
      <c r="C31" s="37"/>
      <c r="D31" s="37"/>
      <c r="E31" s="37"/>
      <c r="F31" s="37"/>
      <c r="G31" s="37"/>
      <c r="H31" s="37"/>
      <c r="I31" s="39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7"/>
      <c r="BE31" s="37"/>
      <c r="BF31" s="37"/>
      <c r="BG31" s="37"/>
      <c r="BH31" s="37"/>
      <c r="BI31" s="37"/>
      <c r="BJ31" s="37"/>
      <c r="BK31" s="37"/>
      <c r="BL31" s="37"/>
      <c r="BM31" s="37"/>
      <c r="BN31" s="37"/>
      <c r="BO31" s="37"/>
      <c r="BP31" s="37"/>
      <c r="BQ31" s="37"/>
      <c r="BR31" s="37"/>
      <c r="BS31" s="37"/>
      <c r="BT31" s="37"/>
      <c r="BU31"/>
      <c r="BV31" s="32">
        <f t="shared" ca="1" si="0"/>
        <v>121</v>
      </c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DK31" s="27"/>
      <c r="DL31" s="28"/>
      <c r="DM31" s="28"/>
      <c r="DN31" s="28"/>
      <c r="DO31" s="28"/>
    </row>
    <row r="32" spans="1:119" x14ac:dyDescent="0.3">
      <c r="A32" s="40"/>
      <c r="B32" s="37"/>
      <c r="C32" s="37"/>
      <c r="D32" s="37"/>
      <c r="E32" s="37"/>
      <c r="F32" s="37"/>
      <c r="G32" s="37"/>
      <c r="H32" s="37"/>
      <c r="I32" s="39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37"/>
      <c r="BD32" s="37"/>
      <c r="BE32" s="37"/>
      <c r="BF32" s="37"/>
      <c r="BG32" s="37"/>
      <c r="BH32" s="37"/>
      <c r="BI32" s="37"/>
      <c r="BJ32" s="37"/>
      <c r="BK32" s="37"/>
      <c r="BL32" s="37"/>
      <c r="BM32" s="37"/>
      <c r="BN32" s="37"/>
      <c r="BO32" s="37"/>
      <c r="BP32" s="37"/>
      <c r="BQ32" s="37"/>
      <c r="BR32" s="37"/>
      <c r="BS32" s="37"/>
      <c r="BT32" s="37"/>
      <c r="BU32" s="37"/>
      <c r="BV32" s="32">
        <f t="shared" ca="1" si="0"/>
        <v>121</v>
      </c>
      <c r="BW32" s="32"/>
      <c r="BX32" s="32"/>
      <c r="BY32" s="32"/>
      <c r="BZ32" s="32"/>
      <c r="CA32" s="32"/>
      <c r="CB32" s="32"/>
      <c r="CC32" s="32"/>
      <c r="CD32" s="32"/>
      <c r="CE32" s="32"/>
      <c r="CF32" s="32"/>
      <c r="CG32" s="32"/>
      <c r="DK32" s="27"/>
      <c r="DL32" s="28"/>
      <c r="DM32" s="28"/>
      <c r="DN32" s="28"/>
      <c r="DO32" s="28"/>
    </row>
    <row r="33" spans="1:119" x14ac:dyDescent="0.3">
      <c r="A33" s="40"/>
      <c r="B33" s="37"/>
      <c r="C33" s="37"/>
      <c r="D33" s="37"/>
      <c r="E33" s="37"/>
      <c r="F33" s="37"/>
      <c r="G33" s="37"/>
      <c r="H33" s="37"/>
      <c r="I33" s="39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37"/>
      <c r="BJ33" s="37"/>
      <c r="BK33" s="37"/>
      <c r="BL33" s="37"/>
      <c r="BM33" s="37"/>
      <c r="BN33" s="37"/>
      <c r="BO33" s="37"/>
      <c r="BP33" s="37"/>
      <c r="BQ33" s="37"/>
      <c r="BR33" s="37"/>
      <c r="BS33" s="37"/>
      <c r="BT33" s="37"/>
      <c r="BU33"/>
      <c r="BV33" s="32">
        <f t="shared" ca="1" si="0"/>
        <v>121</v>
      </c>
      <c r="BW33" s="32"/>
      <c r="BX33" s="32"/>
      <c r="BY33" s="32"/>
      <c r="BZ33" s="32"/>
      <c r="CA33" s="32"/>
      <c r="CB33" s="32"/>
      <c r="CC33" s="32"/>
      <c r="CD33" s="32"/>
      <c r="CE33" s="32"/>
      <c r="CF33" s="32"/>
      <c r="CG33" s="32"/>
      <c r="DK33" s="27"/>
      <c r="DL33" s="28"/>
      <c r="DM33" s="28"/>
      <c r="DN33" s="28"/>
      <c r="DO33" s="28"/>
    </row>
    <row r="34" spans="1:119" x14ac:dyDescent="0.3">
      <c r="A34" s="40"/>
      <c r="B34" s="37"/>
      <c r="C34" s="37"/>
      <c r="D34" s="37"/>
      <c r="E34" s="37"/>
      <c r="F34" s="37"/>
      <c r="G34" s="37"/>
      <c r="H34" s="37"/>
      <c r="I34" s="39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2">
        <f t="shared" ca="1" si="0"/>
        <v>121</v>
      </c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DK34" s="27"/>
      <c r="DL34" s="28"/>
      <c r="DM34" s="28"/>
      <c r="DN34" s="28"/>
      <c r="DO34" s="28"/>
    </row>
    <row r="35" spans="1:119" x14ac:dyDescent="0.3">
      <c r="A35" s="38"/>
      <c r="B35" s="37"/>
      <c r="C35" s="37"/>
      <c r="D35" s="37"/>
      <c r="E35" s="37"/>
      <c r="F35" s="37"/>
      <c r="G35" s="37"/>
      <c r="H35" s="37"/>
      <c r="I35" s="39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7"/>
      <c r="BE35" s="37"/>
      <c r="BF35" s="37"/>
      <c r="BG35" s="37"/>
      <c r="BH35" s="37"/>
      <c r="BI35" s="37"/>
      <c r="BJ35" s="37"/>
      <c r="BK35" s="37"/>
      <c r="BL35" s="37"/>
      <c r="BM35" s="37"/>
      <c r="BN35" s="37"/>
      <c r="BO35" s="37"/>
      <c r="BP35" s="37"/>
      <c r="BQ35" s="37"/>
      <c r="BR35" s="37"/>
      <c r="BS35" s="37"/>
      <c r="BT35" s="37"/>
      <c r="BU35"/>
      <c r="BV35" s="32">
        <f t="shared" ca="1" si="0"/>
        <v>121</v>
      </c>
      <c r="BW35" s="32"/>
      <c r="BX35" s="32"/>
      <c r="BY35" s="32"/>
      <c r="BZ35" s="32"/>
      <c r="CA35" s="32"/>
      <c r="CB35" s="32"/>
      <c r="CC35" s="32"/>
      <c r="CD35" s="32"/>
      <c r="CE35" s="32"/>
      <c r="CF35" s="32"/>
      <c r="CG35" s="32"/>
      <c r="DK35" s="27"/>
      <c r="DL35" s="28"/>
      <c r="DM35" s="28"/>
      <c r="DN35" s="28"/>
      <c r="DO35" s="28"/>
    </row>
    <row r="36" spans="1:119" x14ac:dyDescent="0.3">
      <c r="A36" s="40"/>
      <c r="B36" s="37"/>
      <c r="C36" s="37"/>
      <c r="D36" s="37"/>
      <c r="E36" s="37"/>
      <c r="F36" s="37"/>
      <c r="G36" s="37"/>
      <c r="H36" s="37"/>
      <c r="I36" s="39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  <c r="BT36" s="37"/>
      <c r="BU36" s="37"/>
      <c r="BV36" s="32">
        <f t="shared" ca="1" si="0"/>
        <v>121</v>
      </c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DK36" s="27"/>
      <c r="DL36" s="28"/>
      <c r="DM36" s="28"/>
      <c r="DN36" s="28"/>
      <c r="DO36" s="28"/>
    </row>
    <row r="37" spans="1:119" x14ac:dyDescent="0.3">
      <c r="A37" s="40"/>
      <c r="B37" s="37"/>
      <c r="C37" s="37"/>
      <c r="D37" s="37"/>
      <c r="E37" s="37"/>
      <c r="F37" s="37"/>
      <c r="G37" s="37"/>
      <c r="H37" s="37"/>
      <c r="I37" s="39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2">
        <f t="shared" ca="1" si="0"/>
        <v>121</v>
      </c>
      <c r="BW37" s="32"/>
      <c r="BX37" s="32"/>
      <c r="BY37" s="32"/>
      <c r="BZ37" s="32"/>
      <c r="CA37" s="32"/>
      <c r="CB37" s="32"/>
      <c r="CC37" s="32"/>
      <c r="CD37" s="32"/>
      <c r="CE37" s="32"/>
      <c r="CF37" s="32"/>
      <c r="CG37" s="32"/>
      <c r="DK37" s="27"/>
      <c r="DL37" s="28"/>
      <c r="DM37" s="28"/>
      <c r="DN37" s="28"/>
      <c r="DO37" s="28"/>
    </row>
    <row r="38" spans="1:119" x14ac:dyDescent="0.3">
      <c r="A38" s="40"/>
      <c r="B38" s="37"/>
      <c r="C38" s="37"/>
      <c r="D38" s="37"/>
      <c r="E38" s="37"/>
      <c r="F38" s="37"/>
      <c r="G38" s="37"/>
      <c r="H38" s="37"/>
      <c r="I38" s="39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F38" s="37"/>
      <c r="BG38" s="37"/>
      <c r="BH38" s="37"/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BS38" s="37"/>
      <c r="BT38" s="37"/>
      <c r="BU38"/>
      <c r="BV38" s="32">
        <f t="shared" ca="1" si="0"/>
        <v>121</v>
      </c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DK38" s="27"/>
      <c r="DL38" s="28"/>
      <c r="DM38" s="28"/>
      <c r="DN38" s="28"/>
      <c r="DO38" s="28"/>
    </row>
    <row r="39" spans="1:119" x14ac:dyDescent="0.3">
      <c r="A39" s="40"/>
      <c r="B39" s="37"/>
      <c r="C39" s="37"/>
      <c r="D39" s="37"/>
      <c r="E39" s="37"/>
      <c r="F39" s="37"/>
      <c r="G39" s="37"/>
      <c r="H39" s="37"/>
      <c r="I39" s="39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7"/>
      <c r="BK39" s="37"/>
      <c r="BL39" s="37"/>
      <c r="BM39" s="37"/>
      <c r="BN39" s="37"/>
      <c r="BO39" s="37"/>
      <c r="BP39" s="37"/>
      <c r="BQ39" s="37"/>
      <c r="BR39" s="37"/>
      <c r="BS39" s="37"/>
      <c r="BT39" s="37"/>
      <c r="BU39" s="37"/>
      <c r="BV39" s="32">
        <f t="shared" ca="1" si="0"/>
        <v>121</v>
      </c>
      <c r="BW39" s="32"/>
      <c r="BX39" s="32"/>
      <c r="BY39" s="32"/>
      <c r="BZ39" s="32"/>
      <c r="CA39" s="32"/>
      <c r="CB39" s="32"/>
      <c r="CC39" s="32"/>
      <c r="CD39" s="32"/>
      <c r="CE39" s="32"/>
      <c r="CF39" s="32"/>
      <c r="CG39" s="32"/>
      <c r="DK39" s="27"/>
      <c r="DL39" s="28"/>
      <c r="DM39" s="28"/>
      <c r="DN39" s="28"/>
      <c r="DO39" s="28"/>
    </row>
    <row r="40" spans="1:119" x14ac:dyDescent="0.3">
      <c r="A40" s="40"/>
      <c r="B40" s="37"/>
      <c r="C40" s="37"/>
      <c r="D40" s="37"/>
      <c r="E40" s="37"/>
      <c r="F40" s="37"/>
      <c r="G40" s="37"/>
      <c r="H40" s="37"/>
      <c r="I40" s="39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  <c r="BK40" s="37"/>
      <c r="BL40" s="37"/>
      <c r="BM40" s="37"/>
      <c r="BN40" s="37"/>
      <c r="BO40" s="37"/>
      <c r="BP40" s="37"/>
      <c r="BQ40" s="37"/>
      <c r="BR40" s="37"/>
      <c r="BS40" s="37"/>
      <c r="BT40" s="37"/>
      <c r="BU40" s="37"/>
      <c r="BV40" s="32">
        <f t="shared" ca="1" si="0"/>
        <v>121</v>
      </c>
      <c r="BW40" s="32"/>
      <c r="BX40" s="32"/>
      <c r="BY40" s="32"/>
      <c r="BZ40" s="32"/>
      <c r="CA40" s="32"/>
      <c r="CB40" s="32"/>
      <c r="CC40" s="32"/>
      <c r="CD40" s="32"/>
      <c r="CE40" s="32"/>
      <c r="CF40" s="32"/>
      <c r="CG40" s="32"/>
      <c r="DK40" s="27"/>
      <c r="DL40" s="28"/>
      <c r="DM40" s="28"/>
      <c r="DN40" s="28"/>
      <c r="DO40" s="28"/>
    </row>
    <row r="41" spans="1:119" x14ac:dyDescent="0.3">
      <c r="A41" s="40"/>
      <c r="B41" s="37"/>
      <c r="C41" s="37"/>
      <c r="D41" s="37"/>
      <c r="E41" s="37"/>
      <c r="F41" s="37"/>
      <c r="G41" s="37"/>
      <c r="H41" s="37"/>
      <c r="I41" s="39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37"/>
      <c r="BS41" s="37"/>
      <c r="BT41" s="37"/>
      <c r="BU41" s="37"/>
      <c r="BV41" s="32">
        <f t="shared" ca="1" si="0"/>
        <v>121</v>
      </c>
      <c r="BW41" s="32"/>
      <c r="BX41" s="32"/>
      <c r="BY41" s="32"/>
      <c r="BZ41" s="32"/>
      <c r="CA41" s="32"/>
      <c r="CB41" s="32"/>
      <c r="CC41" s="32"/>
      <c r="CD41" s="32"/>
      <c r="CE41" s="32"/>
      <c r="CF41" s="32"/>
      <c r="CG41" s="32"/>
      <c r="DK41" s="27"/>
      <c r="DL41" s="28"/>
      <c r="DM41" s="28"/>
      <c r="DN41" s="28"/>
      <c r="DO41" s="28"/>
    </row>
    <row r="42" spans="1:119" x14ac:dyDescent="0.3">
      <c r="A42" s="40"/>
      <c r="B42" s="37"/>
      <c r="C42" s="37"/>
      <c r="D42" s="37"/>
      <c r="E42" s="37"/>
      <c r="F42" s="37"/>
      <c r="G42" s="37"/>
      <c r="H42" s="37"/>
      <c r="I42" s="39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L42" s="37"/>
      <c r="BM42" s="37"/>
      <c r="BN42" s="37"/>
      <c r="BO42" s="37"/>
      <c r="BP42" s="37"/>
      <c r="BQ42" s="37"/>
      <c r="BR42" s="37"/>
      <c r="BS42" s="37"/>
      <c r="BT42" s="37"/>
      <c r="BU42"/>
      <c r="BV42" s="32">
        <f t="shared" ca="1" si="0"/>
        <v>121</v>
      </c>
      <c r="BW42" s="32"/>
      <c r="BX42" s="32"/>
      <c r="BY42" s="32"/>
      <c r="BZ42" s="32"/>
      <c r="CA42" s="32"/>
      <c r="CB42" s="32"/>
      <c r="CC42" s="32"/>
      <c r="CD42" s="32"/>
      <c r="CE42" s="32"/>
      <c r="CF42" s="32"/>
      <c r="CG42" s="32"/>
      <c r="DK42" s="27"/>
      <c r="DL42" s="28"/>
      <c r="DM42" s="28"/>
      <c r="DN42" s="28"/>
      <c r="DO42" s="28"/>
    </row>
    <row r="43" spans="1:119" x14ac:dyDescent="0.3">
      <c r="A43" s="40"/>
      <c r="B43" s="37"/>
      <c r="C43" s="37"/>
      <c r="D43" s="37"/>
      <c r="E43" s="37"/>
      <c r="F43" s="37"/>
      <c r="G43" s="37"/>
      <c r="H43" s="37"/>
      <c r="I43" s="39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37"/>
      <c r="BD43" s="37"/>
      <c r="BE43" s="37"/>
      <c r="BF43" s="37"/>
      <c r="BG43" s="37"/>
      <c r="BH43" s="37"/>
      <c r="BI43" s="37"/>
      <c r="BJ43" s="37"/>
      <c r="BK43" s="37"/>
      <c r="BL43" s="37"/>
      <c r="BM43" s="37"/>
      <c r="BN43" s="37"/>
      <c r="BO43" s="37"/>
      <c r="BP43" s="37"/>
      <c r="BQ43" s="37"/>
      <c r="BR43" s="37"/>
      <c r="BS43" s="37"/>
      <c r="BT43" s="37"/>
      <c r="BU43"/>
      <c r="BV43" s="32">
        <f t="shared" ca="1" si="0"/>
        <v>121</v>
      </c>
      <c r="BW43" s="32"/>
      <c r="BX43" s="32"/>
      <c r="BY43" s="32"/>
      <c r="BZ43" s="32"/>
      <c r="CA43" s="32"/>
      <c r="CB43" s="32"/>
      <c r="CC43" s="32"/>
      <c r="CD43" s="32"/>
      <c r="CE43" s="32"/>
      <c r="CF43" s="32"/>
      <c r="CG43" s="32"/>
      <c r="DK43" s="27"/>
      <c r="DL43" s="28"/>
      <c r="DM43" s="28"/>
      <c r="DN43" s="28"/>
      <c r="DO43" s="28"/>
    </row>
    <row r="44" spans="1:119" x14ac:dyDescent="0.3">
      <c r="A44" s="40"/>
      <c r="B44" s="37"/>
      <c r="C44" s="37"/>
      <c r="D44" s="37"/>
      <c r="E44" s="37"/>
      <c r="F44" s="37"/>
      <c r="G44" s="37"/>
      <c r="H44" s="37"/>
      <c r="I44" s="39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  <c r="BK44" s="37"/>
      <c r="BL44" s="37"/>
      <c r="BM44" s="37"/>
      <c r="BN44" s="37"/>
      <c r="BO44" s="37"/>
      <c r="BP44" s="37"/>
      <c r="BQ44" s="37"/>
      <c r="BR44" s="37"/>
      <c r="BS44" s="37"/>
      <c r="BT44" s="37"/>
      <c r="BU44"/>
      <c r="BV44" s="32">
        <f t="shared" ca="1" si="0"/>
        <v>121</v>
      </c>
      <c r="BW44" s="32"/>
      <c r="BX44" s="32"/>
      <c r="BY44" s="32"/>
      <c r="BZ44" s="32"/>
      <c r="CA44" s="32"/>
      <c r="CB44" s="32"/>
      <c r="CC44" s="32"/>
      <c r="CD44" s="32"/>
      <c r="CE44" s="32"/>
      <c r="CF44" s="32"/>
      <c r="CG44" s="32"/>
      <c r="DK44" s="27"/>
      <c r="DL44" s="28"/>
      <c r="DM44" s="28"/>
      <c r="DN44" s="28"/>
      <c r="DO44" s="28"/>
    </row>
    <row r="45" spans="1:119" x14ac:dyDescent="0.3">
      <c r="A45" s="40"/>
      <c r="B45" s="37"/>
      <c r="C45" s="37"/>
      <c r="D45" s="37"/>
      <c r="E45" s="37"/>
      <c r="F45" s="37"/>
      <c r="G45" s="37"/>
      <c r="H45" s="37"/>
      <c r="I45" s="39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37"/>
      <c r="BS45" s="37"/>
      <c r="BT45" s="37"/>
      <c r="BU45" s="37"/>
      <c r="BV45" s="32">
        <f t="shared" ca="1" si="0"/>
        <v>121</v>
      </c>
      <c r="BW45" s="32"/>
      <c r="BX45" s="32"/>
      <c r="BY45" s="32"/>
      <c r="BZ45" s="32"/>
      <c r="CA45" s="32"/>
      <c r="CB45" s="32"/>
      <c r="CC45" s="32"/>
      <c r="CD45" s="32"/>
      <c r="CE45" s="32"/>
      <c r="CF45" s="32"/>
      <c r="CG45" s="32"/>
      <c r="DK45" s="27"/>
      <c r="DL45" s="28"/>
      <c r="DM45" s="28"/>
      <c r="DN45" s="28"/>
      <c r="DO45" s="28"/>
    </row>
    <row r="46" spans="1:119" x14ac:dyDescent="0.3">
      <c r="A46" s="40"/>
      <c r="B46" s="37"/>
      <c r="C46" s="37"/>
      <c r="D46" s="37"/>
      <c r="E46" s="37"/>
      <c r="F46" s="37"/>
      <c r="G46" s="37"/>
      <c r="H46" s="37"/>
      <c r="I46" s="39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  <c r="BT46" s="37"/>
      <c r="BU46" s="37"/>
      <c r="BV46" s="32">
        <f t="shared" ca="1" si="0"/>
        <v>121</v>
      </c>
      <c r="BW46" s="32"/>
      <c r="BX46" s="32"/>
      <c r="BY46" s="32"/>
      <c r="BZ46" s="32"/>
      <c r="CA46" s="32"/>
      <c r="CB46" s="32"/>
      <c r="CC46" s="32"/>
      <c r="CD46" s="32"/>
      <c r="CE46" s="32"/>
      <c r="CF46" s="32"/>
      <c r="CG46" s="32"/>
      <c r="DK46" s="27"/>
      <c r="DL46" s="28"/>
      <c r="DM46" s="28"/>
      <c r="DN46" s="28"/>
      <c r="DO46" s="28"/>
    </row>
    <row r="47" spans="1:119" x14ac:dyDescent="0.3">
      <c r="A47" s="40"/>
      <c r="B47" s="37"/>
      <c r="C47" s="37"/>
      <c r="D47" s="37"/>
      <c r="E47" s="37"/>
      <c r="F47" s="37"/>
      <c r="G47" s="37"/>
      <c r="H47" s="37"/>
      <c r="I47" s="39"/>
      <c r="J47" s="37"/>
      <c r="K47" s="37"/>
      <c r="L47" s="37"/>
      <c r="M47" s="37"/>
      <c r="N47" s="37"/>
      <c r="O47" s="37"/>
      <c r="P47" s="37"/>
      <c r="Q47" s="42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  <c r="BJ47" s="37"/>
      <c r="BK47" s="37"/>
      <c r="BL47" s="37"/>
      <c r="BM47" s="37"/>
      <c r="BN47" s="37"/>
      <c r="BO47" s="37"/>
      <c r="BP47" s="37"/>
      <c r="BQ47" s="37"/>
      <c r="BR47" s="37"/>
      <c r="BS47" s="37"/>
      <c r="BT47" s="37"/>
      <c r="BU47" s="37"/>
      <c r="BV47" s="32">
        <f t="shared" ca="1" si="0"/>
        <v>121</v>
      </c>
      <c r="BW47" s="32"/>
      <c r="BX47" s="32"/>
      <c r="BY47" s="32"/>
      <c r="BZ47" s="32"/>
      <c r="CA47" s="32"/>
      <c r="CB47" s="32"/>
      <c r="CC47" s="32"/>
      <c r="CD47" s="32"/>
      <c r="CE47" s="32"/>
      <c r="CF47" s="32"/>
      <c r="CG47" s="32"/>
      <c r="DK47" s="27"/>
      <c r="DL47" s="28"/>
      <c r="DM47" s="28"/>
      <c r="DN47" s="28"/>
      <c r="DO47" s="28"/>
    </row>
    <row r="48" spans="1:119" x14ac:dyDescent="0.3">
      <c r="A48" s="40"/>
      <c r="B48" s="37"/>
      <c r="C48" s="37"/>
      <c r="D48" s="37"/>
      <c r="E48" s="37"/>
      <c r="F48" s="37"/>
      <c r="G48" s="37"/>
      <c r="H48" s="37"/>
      <c r="I48" s="39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42"/>
      <c r="AB48" s="42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2">
        <f t="shared" ca="1" si="0"/>
        <v>121</v>
      </c>
      <c r="BW48" s="32"/>
      <c r="BX48" s="32"/>
      <c r="BY48" s="32"/>
      <c r="BZ48" s="32"/>
      <c r="CA48" s="32"/>
      <c r="CB48" s="32"/>
      <c r="CC48" s="32"/>
      <c r="CD48" s="32"/>
      <c r="CE48" s="32"/>
      <c r="CF48" s="32"/>
      <c r="CG48" s="32"/>
      <c r="DK48" s="27"/>
      <c r="DL48" s="28"/>
      <c r="DM48" s="28"/>
      <c r="DN48" s="28"/>
      <c r="DO48" s="28"/>
    </row>
    <row r="49" spans="1:119" x14ac:dyDescent="0.3">
      <c r="A49" s="40"/>
      <c r="B49" s="37"/>
      <c r="C49" s="37"/>
      <c r="D49" s="37"/>
      <c r="E49" s="37"/>
      <c r="F49" s="37"/>
      <c r="G49" s="37"/>
      <c r="H49" s="37"/>
      <c r="I49" s="39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37"/>
      <c r="BS49" s="37"/>
      <c r="BT49" s="37"/>
      <c r="BU49" s="37"/>
      <c r="BV49" s="32">
        <f t="shared" ca="1" si="0"/>
        <v>121</v>
      </c>
      <c r="BW49" s="32"/>
      <c r="BX49" s="32"/>
      <c r="BY49" s="32"/>
      <c r="BZ49" s="32"/>
      <c r="CA49" s="32"/>
      <c r="CB49" s="32"/>
      <c r="CC49" s="32"/>
      <c r="CD49" s="32"/>
      <c r="CE49" s="32"/>
      <c r="CF49" s="32"/>
      <c r="CG49" s="32"/>
      <c r="DK49" s="27"/>
      <c r="DL49" s="28"/>
      <c r="DM49" s="28"/>
      <c r="DN49" s="28"/>
      <c r="DO49" s="28"/>
    </row>
    <row r="50" spans="1:119" x14ac:dyDescent="0.3">
      <c r="A50" s="38"/>
      <c r="B50" s="37"/>
      <c r="C50" s="37"/>
      <c r="D50" s="37"/>
      <c r="E50" s="37"/>
      <c r="F50" s="37"/>
      <c r="G50" s="37"/>
      <c r="H50" s="37"/>
      <c r="I50" s="39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37"/>
      <c r="BD50" s="37"/>
      <c r="BE50" s="37"/>
      <c r="BF50" s="37"/>
      <c r="BG50" s="37"/>
      <c r="BH50" s="37"/>
      <c r="BI50" s="37"/>
      <c r="BJ50" s="37"/>
      <c r="BK50" s="37"/>
      <c r="BL50" s="37"/>
      <c r="BM50" s="37"/>
      <c r="BN50" s="37"/>
      <c r="BO50" s="37"/>
      <c r="BP50" s="37"/>
      <c r="BQ50" s="37"/>
      <c r="BR50" s="37"/>
      <c r="BS50" s="37"/>
      <c r="BT50" s="37"/>
      <c r="BU50" s="37"/>
      <c r="BV50" s="32">
        <f t="shared" ca="1" si="0"/>
        <v>121</v>
      </c>
      <c r="BW50" s="32"/>
      <c r="BX50" s="32"/>
      <c r="BY50" s="32"/>
      <c r="BZ50" s="32"/>
      <c r="CA50" s="32"/>
      <c r="CB50" s="32"/>
      <c r="CC50" s="32"/>
      <c r="CD50" s="32"/>
      <c r="CE50" s="32"/>
      <c r="CF50" s="32"/>
      <c r="CG50" s="32"/>
      <c r="DK50" s="27"/>
      <c r="DL50" s="28"/>
      <c r="DM50" s="28"/>
      <c r="DN50" s="28"/>
      <c r="DO50" s="28"/>
    </row>
    <row r="51" spans="1:119" x14ac:dyDescent="0.3">
      <c r="A51" s="40"/>
      <c r="B51" s="37"/>
      <c r="C51" s="37"/>
      <c r="D51" s="37"/>
      <c r="E51" s="37"/>
      <c r="F51" s="37"/>
      <c r="G51" s="37"/>
      <c r="H51" s="37"/>
      <c r="I51" s="39"/>
      <c r="J51" s="37"/>
      <c r="K51" s="37"/>
      <c r="L51" s="37"/>
      <c r="M51" s="37"/>
      <c r="N51" s="37"/>
      <c r="O51" s="37"/>
      <c r="P51" s="37"/>
      <c r="Q51" s="42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37"/>
      <c r="BD51" s="37"/>
      <c r="BE51" s="37"/>
      <c r="BF51" s="37"/>
      <c r="BG51" s="37"/>
      <c r="BH51" s="37"/>
      <c r="BI51" s="37"/>
      <c r="BJ51" s="37"/>
      <c r="BK51" s="37"/>
      <c r="BL51" s="37"/>
      <c r="BM51" s="37"/>
      <c r="BN51" s="37"/>
      <c r="BO51" s="37"/>
      <c r="BP51" s="37"/>
      <c r="BQ51" s="37"/>
      <c r="BR51" s="37"/>
      <c r="BS51" s="37"/>
      <c r="BT51" s="37"/>
      <c r="BU51" s="37"/>
      <c r="BV51" s="32">
        <f t="shared" ca="1" si="0"/>
        <v>121</v>
      </c>
      <c r="BW51" s="32"/>
      <c r="BX51" s="32"/>
      <c r="BY51" s="32"/>
      <c r="BZ51" s="32"/>
      <c r="CA51" s="32"/>
      <c r="CB51" s="32"/>
      <c r="CC51" s="32"/>
      <c r="CD51" s="32"/>
      <c r="CE51" s="32"/>
      <c r="CF51" s="32"/>
      <c r="CG51" s="32"/>
      <c r="DK51" s="27"/>
      <c r="DL51" s="28"/>
      <c r="DM51" s="28"/>
      <c r="DN51" s="28"/>
      <c r="DO51" s="28"/>
    </row>
    <row r="52" spans="1:119" x14ac:dyDescent="0.3">
      <c r="A52" s="40"/>
      <c r="B52" s="37"/>
      <c r="C52" s="37"/>
      <c r="D52" s="37"/>
      <c r="E52" s="37"/>
      <c r="F52" s="37"/>
      <c r="G52" s="37"/>
      <c r="H52" s="37"/>
      <c r="I52" s="39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7"/>
      <c r="BH52" s="37"/>
      <c r="BI52" s="37"/>
      <c r="BJ52" s="37"/>
      <c r="BK52" s="37"/>
      <c r="BL52" s="37"/>
      <c r="BM52" s="37"/>
      <c r="BN52" s="37"/>
      <c r="BO52" s="37"/>
      <c r="BP52" s="37"/>
      <c r="BQ52" s="37"/>
      <c r="BR52" s="37"/>
      <c r="BS52" s="37"/>
      <c r="BT52" s="37"/>
      <c r="BU52" s="37"/>
      <c r="BV52" s="32">
        <f t="shared" ca="1" si="0"/>
        <v>121</v>
      </c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DK52" s="27"/>
      <c r="DL52" s="28"/>
      <c r="DM52" s="28"/>
      <c r="DN52" s="28"/>
      <c r="DO52" s="28"/>
    </row>
    <row r="53" spans="1:119" x14ac:dyDescent="0.3">
      <c r="A53" s="38"/>
      <c r="B53" s="37"/>
      <c r="C53" s="37"/>
      <c r="D53" s="37"/>
      <c r="E53" s="37"/>
      <c r="F53" s="37"/>
      <c r="G53" s="37"/>
      <c r="H53" s="37"/>
      <c r="I53" s="39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  <c r="BK53" s="37"/>
      <c r="BL53" s="37"/>
      <c r="BM53" s="37"/>
      <c r="BN53" s="37"/>
      <c r="BO53" s="37"/>
      <c r="BP53" s="37"/>
      <c r="BQ53" s="37"/>
      <c r="BR53" s="37"/>
      <c r="BS53" s="37"/>
      <c r="BT53" s="37"/>
      <c r="BU53" s="37"/>
      <c r="BV53" s="32">
        <f t="shared" ca="1" si="0"/>
        <v>121</v>
      </c>
      <c r="BW53" s="32"/>
      <c r="BX53" s="32"/>
      <c r="BY53" s="32"/>
      <c r="BZ53" s="32"/>
      <c r="CA53" s="32"/>
      <c r="CB53" s="32"/>
      <c r="CC53" s="32"/>
      <c r="CD53" s="32"/>
      <c r="CE53" s="32"/>
      <c r="CF53" s="32"/>
      <c r="CG53" s="32"/>
      <c r="DK53" s="27"/>
      <c r="DL53" s="28"/>
      <c r="DM53" s="28"/>
      <c r="DN53" s="28"/>
      <c r="DO53" s="28"/>
    </row>
    <row r="54" spans="1:119" x14ac:dyDescent="0.3">
      <c r="A54" s="40"/>
      <c r="B54" s="37"/>
      <c r="C54" s="37"/>
      <c r="D54" s="37"/>
      <c r="E54" s="37"/>
      <c r="F54" s="37"/>
      <c r="G54" s="37"/>
      <c r="H54" s="37"/>
      <c r="I54" s="39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  <c r="BK54" s="37"/>
      <c r="BL54" s="37"/>
      <c r="BM54" s="37"/>
      <c r="BN54" s="37"/>
      <c r="BO54" s="37"/>
      <c r="BP54" s="37"/>
      <c r="BQ54" s="37"/>
      <c r="BR54" s="37"/>
      <c r="BS54" s="37"/>
      <c r="BT54" s="37"/>
      <c r="BU54" s="37"/>
      <c r="BV54" s="32">
        <f t="shared" ca="1" si="0"/>
        <v>121</v>
      </c>
      <c r="BW54" s="32"/>
      <c r="BX54" s="32"/>
      <c r="BY54" s="32"/>
      <c r="BZ54" s="32"/>
      <c r="CA54" s="32"/>
      <c r="CB54" s="32"/>
      <c r="CC54" s="32"/>
      <c r="CD54" s="32"/>
      <c r="CE54" s="32"/>
      <c r="CF54" s="32"/>
      <c r="CG54" s="32"/>
      <c r="DK54" s="27"/>
      <c r="DL54" s="28"/>
      <c r="DM54" s="28"/>
      <c r="DN54" s="28"/>
      <c r="DO54" s="28"/>
    </row>
    <row r="55" spans="1:119" x14ac:dyDescent="0.3">
      <c r="A55" s="40"/>
      <c r="B55" s="37"/>
      <c r="C55" s="37"/>
      <c r="D55" s="37"/>
      <c r="E55" s="37"/>
      <c r="F55" s="37"/>
      <c r="G55" s="37"/>
      <c r="H55" s="37"/>
      <c r="I55" s="39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  <c r="BJ55" s="37"/>
      <c r="BK55" s="37"/>
      <c r="BL55" s="37"/>
      <c r="BM55" s="37"/>
      <c r="BN55" s="37"/>
      <c r="BO55" s="37"/>
      <c r="BP55" s="37"/>
      <c r="BQ55" s="37"/>
      <c r="BR55" s="37"/>
      <c r="BS55" s="37"/>
      <c r="BT55" s="37"/>
      <c r="BU55" s="37"/>
      <c r="BV55" s="32">
        <f t="shared" ca="1" si="0"/>
        <v>121</v>
      </c>
      <c r="BW55" s="32"/>
      <c r="BX55" s="32"/>
      <c r="BY55" s="32"/>
      <c r="BZ55" s="32"/>
      <c r="CA55" s="32"/>
      <c r="CB55" s="32"/>
      <c r="CC55" s="32"/>
      <c r="CD55" s="32"/>
      <c r="CE55" s="32"/>
      <c r="CF55" s="32"/>
      <c r="CG55" s="32"/>
      <c r="DK55" s="27"/>
      <c r="DL55" s="28"/>
      <c r="DM55" s="28"/>
      <c r="DN55" s="28"/>
      <c r="DO55" s="28"/>
    </row>
    <row r="56" spans="1:119" x14ac:dyDescent="0.3">
      <c r="A56" s="40"/>
      <c r="B56" s="37"/>
      <c r="C56" s="37"/>
      <c r="D56" s="37"/>
      <c r="E56" s="37"/>
      <c r="F56" s="37"/>
      <c r="G56" s="37"/>
      <c r="H56" s="37"/>
      <c r="I56" s="39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37"/>
      <c r="BD56" s="37"/>
      <c r="BE56" s="37"/>
      <c r="BF56" s="37"/>
      <c r="BG56" s="37"/>
      <c r="BH56" s="37"/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2">
        <f t="shared" ca="1" si="0"/>
        <v>121</v>
      </c>
      <c r="BW56" s="32"/>
      <c r="BX56" s="32"/>
      <c r="BY56" s="32"/>
      <c r="BZ56" s="32"/>
      <c r="CA56" s="32"/>
      <c r="CB56" s="32"/>
      <c r="CC56" s="32"/>
      <c r="CD56" s="32"/>
      <c r="CE56" s="32"/>
      <c r="CF56" s="32"/>
      <c r="CG56" s="32"/>
      <c r="DK56" s="27"/>
      <c r="DL56" s="28"/>
      <c r="DM56" s="28"/>
      <c r="DN56" s="28"/>
      <c r="DO56" s="28"/>
    </row>
    <row r="57" spans="1:119" x14ac:dyDescent="0.3">
      <c r="A57" s="40"/>
      <c r="B57" s="37"/>
      <c r="C57" s="37"/>
      <c r="D57" s="37"/>
      <c r="E57" s="37"/>
      <c r="F57" s="37"/>
      <c r="G57" s="37"/>
      <c r="H57" s="37"/>
      <c r="I57" s="39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  <c r="BK57" s="37"/>
      <c r="BL57" s="37"/>
      <c r="BM57" s="37"/>
      <c r="BN57" s="37"/>
      <c r="BO57" s="37"/>
      <c r="BP57" s="37"/>
      <c r="BQ57" s="37"/>
      <c r="BR57" s="37"/>
      <c r="BS57" s="37"/>
      <c r="BT57" s="37"/>
      <c r="BU57"/>
      <c r="BV57" s="32">
        <f t="shared" ca="1" si="0"/>
        <v>121</v>
      </c>
      <c r="BW57" s="32"/>
      <c r="BX57" s="32"/>
      <c r="BY57" s="32"/>
      <c r="BZ57" s="32"/>
      <c r="CA57" s="32"/>
      <c r="CB57" s="32"/>
      <c r="CC57" s="32"/>
      <c r="CD57" s="32"/>
      <c r="CE57" s="32"/>
      <c r="CF57" s="32"/>
      <c r="CG57" s="32"/>
      <c r="DK57" s="27"/>
      <c r="DL57" s="28"/>
      <c r="DM57" s="28"/>
      <c r="DN57" s="28"/>
      <c r="DO57" s="28"/>
    </row>
    <row r="58" spans="1:119" x14ac:dyDescent="0.3">
      <c r="A58" s="40"/>
      <c r="B58" s="37"/>
      <c r="C58" s="37"/>
      <c r="D58" s="37"/>
      <c r="E58" s="37"/>
      <c r="F58" s="37"/>
      <c r="G58" s="37"/>
      <c r="H58" s="37"/>
      <c r="I58" s="39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  <c r="BJ58" s="37"/>
      <c r="BK58" s="37"/>
      <c r="BL58" s="37"/>
      <c r="BM58" s="37"/>
      <c r="BN58" s="37"/>
      <c r="BO58" s="37"/>
      <c r="BP58" s="37"/>
      <c r="BQ58" s="37"/>
      <c r="BR58" s="37"/>
      <c r="BS58" s="37"/>
      <c r="BT58" s="37"/>
      <c r="BU58" s="37"/>
      <c r="BV58" s="32">
        <f t="shared" ca="1" si="0"/>
        <v>121</v>
      </c>
      <c r="BW58" s="32"/>
      <c r="BX58" s="32"/>
      <c r="BY58" s="32"/>
      <c r="BZ58" s="32"/>
      <c r="CA58" s="32"/>
      <c r="CB58" s="32"/>
      <c r="CC58" s="32"/>
      <c r="CD58" s="32"/>
      <c r="CE58" s="32"/>
      <c r="CF58" s="32"/>
      <c r="CG58" s="32"/>
      <c r="DK58" s="27"/>
      <c r="DL58" s="28"/>
      <c r="DM58" s="28"/>
      <c r="DN58" s="28"/>
      <c r="DO58" s="28"/>
    </row>
    <row r="59" spans="1:119" x14ac:dyDescent="0.3">
      <c r="A59" s="40"/>
      <c r="B59" s="37"/>
      <c r="C59" s="37"/>
      <c r="D59" s="37"/>
      <c r="E59" s="37"/>
      <c r="F59" s="37"/>
      <c r="G59" s="37"/>
      <c r="H59" s="37"/>
      <c r="I59" s="39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37"/>
      <c r="BD59" s="37"/>
      <c r="BE59" s="37"/>
      <c r="BF59" s="37"/>
      <c r="BG59" s="37"/>
      <c r="BH59" s="37"/>
      <c r="BI59" s="37"/>
      <c r="BJ59" s="37"/>
      <c r="BK59" s="37"/>
      <c r="BL59" s="37"/>
      <c r="BM59" s="37"/>
      <c r="BN59" s="37"/>
      <c r="BO59" s="37"/>
      <c r="BP59" s="37"/>
      <c r="BQ59" s="37"/>
      <c r="BR59" s="37"/>
      <c r="BS59" s="37"/>
      <c r="BT59" s="37"/>
      <c r="BU59" s="37"/>
      <c r="BV59" s="32">
        <f t="shared" ca="1" si="0"/>
        <v>121</v>
      </c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DK59" s="27"/>
      <c r="DL59" s="28"/>
      <c r="DM59" s="28"/>
      <c r="DN59" s="28"/>
      <c r="DO59" s="28"/>
    </row>
    <row r="60" spans="1:119" x14ac:dyDescent="0.3">
      <c r="A60" s="40"/>
      <c r="B60" s="37"/>
      <c r="C60" s="37"/>
      <c r="D60" s="37"/>
      <c r="E60" s="37"/>
      <c r="F60" s="37"/>
      <c r="G60" s="37"/>
      <c r="H60" s="37"/>
      <c r="I60" s="39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37"/>
      <c r="BD60" s="37"/>
      <c r="BE60" s="37"/>
      <c r="BF60" s="37"/>
      <c r="BG60" s="37"/>
      <c r="BH60" s="37"/>
      <c r="BI60" s="37"/>
      <c r="BJ60" s="37"/>
      <c r="BK60" s="37"/>
      <c r="BL60" s="37"/>
      <c r="BM60" s="37"/>
      <c r="BN60" s="37"/>
      <c r="BO60" s="37"/>
      <c r="BP60" s="37"/>
      <c r="BQ60" s="37"/>
      <c r="BR60" s="37"/>
      <c r="BS60" s="37"/>
      <c r="BT60" s="37"/>
      <c r="BU60" s="37"/>
      <c r="BV60" s="32">
        <f t="shared" ca="1" si="0"/>
        <v>121</v>
      </c>
      <c r="BW60" s="32"/>
      <c r="BX60" s="32"/>
      <c r="BY60" s="32"/>
      <c r="BZ60" s="32"/>
      <c r="CA60" s="32"/>
      <c r="CB60" s="32"/>
      <c r="CC60" s="32"/>
      <c r="CD60" s="32"/>
      <c r="CE60" s="32"/>
      <c r="CF60" s="32"/>
      <c r="CG60" s="32"/>
      <c r="DK60" s="27"/>
      <c r="DL60" s="28"/>
      <c r="DM60" s="28"/>
      <c r="DN60" s="28"/>
      <c r="DO60" s="28"/>
    </row>
    <row r="61" spans="1:119" x14ac:dyDescent="0.3">
      <c r="A61" s="40"/>
      <c r="B61" s="37"/>
      <c r="C61" s="37"/>
      <c r="D61" s="37"/>
      <c r="E61" s="37"/>
      <c r="F61" s="37"/>
      <c r="G61" s="37"/>
      <c r="H61" s="37"/>
      <c r="I61" s="39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37"/>
      <c r="BD61" s="37"/>
      <c r="BE61" s="37"/>
      <c r="BF61" s="37"/>
      <c r="BG61" s="37"/>
      <c r="BH61" s="37"/>
      <c r="BI61" s="37"/>
      <c r="BJ61" s="37"/>
      <c r="BK61" s="37"/>
      <c r="BL61" s="37"/>
      <c r="BM61" s="37"/>
      <c r="BN61" s="37"/>
      <c r="BO61" s="37"/>
      <c r="BP61" s="37"/>
      <c r="BQ61" s="37"/>
      <c r="BR61" s="37"/>
      <c r="BS61" s="37"/>
      <c r="BT61" s="37"/>
      <c r="BU61" s="37"/>
      <c r="BV61" s="32">
        <f t="shared" ca="1" si="0"/>
        <v>121</v>
      </c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DK61" s="27"/>
      <c r="DL61" s="28"/>
      <c r="DM61" s="28"/>
      <c r="DN61" s="28"/>
      <c r="DO61" s="28"/>
    </row>
    <row r="62" spans="1:119" x14ac:dyDescent="0.3">
      <c r="A62" s="40"/>
      <c r="B62" s="37"/>
      <c r="C62" s="37"/>
      <c r="D62" s="37"/>
      <c r="E62" s="37"/>
      <c r="F62" s="37"/>
      <c r="G62" s="37"/>
      <c r="H62" s="37"/>
      <c r="I62" s="39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  <c r="BB62" s="37"/>
      <c r="BC62" s="37"/>
      <c r="BD62" s="37"/>
      <c r="BE62" s="37"/>
      <c r="BF62" s="37"/>
      <c r="BG62" s="37"/>
      <c r="BH62" s="37"/>
      <c r="BI62" s="37"/>
      <c r="BJ62" s="37"/>
      <c r="BK62" s="37"/>
      <c r="BL62" s="37"/>
      <c r="BM62" s="37"/>
      <c r="BN62" s="37"/>
      <c r="BO62" s="37"/>
      <c r="BP62" s="37"/>
      <c r="BQ62" s="37"/>
      <c r="BR62" s="37"/>
      <c r="BS62" s="37"/>
      <c r="BT62" s="37"/>
      <c r="BU62" s="37"/>
      <c r="BV62" s="32">
        <f t="shared" ca="1" si="0"/>
        <v>121</v>
      </c>
      <c r="BW62" s="32"/>
      <c r="BX62" s="32"/>
      <c r="BY62" s="32"/>
      <c r="BZ62" s="32"/>
      <c r="CA62" s="32"/>
      <c r="CB62" s="32"/>
      <c r="CC62" s="32"/>
      <c r="CD62" s="32"/>
      <c r="CE62" s="32"/>
      <c r="CF62" s="32"/>
      <c r="CG62" s="32"/>
      <c r="DK62" s="27"/>
      <c r="DL62" s="28"/>
      <c r="DM62" s="28"/>
      <c r="DN62" s="28"/>
      <c r="DO62" s="28"/>
    </row>
    <row r="63" spans="1:119" x14ac:dyDescent="0.3">
      <c r="A63" s="40"/>
      <c r="B63" s="37"/>
      <c r="C63" s="37"/>
      <c r="D63" s="37"/>
      <c r="E63" s="37"/>
      <c r="F63" s="37"/>
      <c r="G63" s="37"/>
      <c r="H63" s="37"/>
      <c r="I63" s="39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s="37"/>
      <c r="BD63" s="37"/>
      <c r="BE63" s="37"/>
      <c r="BF63" s="37"/>
      <c r="BG63" s="37"/>
      <c r="BH63" s="37"/>
      <c r="BI63" s="37"/>
      <c r="BJ63" s="37"/>
      <c r="BK63" s="37"/>
      <c r="BL63" s="37"/>
      <c r="BM63" s="37"/>
      <c r="BN63" s="37"/>
      <c r="BO63" s="37"/>
      <c r="BP63" s="37"/>
      <c r="BQ63" s="37"/>
      <c r="BR63" s="37"/>
      <c r="BS63" s="37"/>
      <c r="BT63" s="37"/>
      <c r="BU63" s="37"/>
      <c r="BV63" s="32">
        <f t="shared" ca="1" si="0"/>
        <v>121</v>
      </c>
      <c r="BW63" s="32"/>
      <c r="BX63" s="32"/>
      <c r="BY63" s="32"/>
      <c r="BZ63" s="32"/>
      <c r="CA63" s="32"/>
      <c r="CB63" s="32"/>
      <c r="CC63" s="32"/>
      <c r="CD63" s="32"/>
      <c r="CE63" s="32"/>
      <c r="CF63" s="32"/>
      <c r="CG63" s="32"/>
      <c r="DK63" s="27"/>
      <c r="DL63" s="28"/>
      <c r="DM63" s="28"/>
      <c r="DN63" s="28"/>
      <c r="DO63" s="28"/>
    </row>
    <row r="64" spans="1:119" x14ac:dyDescent="0.3">
      <c r="A64" s="40"/>
      <c r="B64" s="37"/>
      <c r="C64" s="37"/>
      <c r="D64" s="37"/>
      <c r="E64" s="37"/>
      <c r="F64" s="37"/>
      <c r="G64" s="37"/>
      <c r="H64" s="37"/>
      <c r="I64" s="39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  <c r="BB64" s="37"/>
      <c r="BC64" s="37"/>
      <c r="BD64" s="37"/>
      <c r="BE64" s="37"/>
      <c r="BF64" s="37"/>
      <c r="BG64" s="37"/>
      <c r="BH64" s="37"/>
      <c r="BI64" s="37"/>
      <c r="BJ64" s="37"/>
      <c r="BK64" s="37"/>
      <c r="BL64" s="37"/>
      <c r="BM64" s="37"/>
      <c r="BN64" s="37"/>
      <c r="BO64" s="37"/>
      <c r="BP64" s="37"/>
      <c r="BQ64" s="37"/>
      <c r="BR64" s="37"/>
      <c r="BS64" s="37"/>
      <c r="BT64" s="37"/>
      <c r="BU64" s="37"/>
      <c r="BV64" s="32">
        <f t="shared" ca="1" si="0"/>
        <v>121</v>
      </c>
      <c r="BW64" s="32"/>
      <c r="BX64" s="32"/>
      <c r="BY64" s="32"/>
      <c r="BZ64" s="32"/>
      <c r="CA64" s="32"/>
      <c r="CB64" s="32"/>
      <c r="CC64" s="32"/>
      <c r="CD64" s="32"/>
      <c r="CE64" s="32"/>
      <c r="CF64" s="32"/>
      <c r="CG64" s="32"/>
      <c r="DK64" s="27"/>
      <c r="DL64" s="28"/>
      <c r="DM64" s="28"/>
      <c r="DN64" s="28"/>
      <c r="DO64" s="28"/>
    </row>
    <row r="65" spans="1:119" x14ac:dyDescent="0.3">
      <c r="A65" s="40"/>
      <c r="B65" s="37"/>
      <c r="C65" s="37"/>
      <c r="D65" s="37"/>
      <c r="E65" s="37"/>
      <c r="F65" s="37"/>
      <c r="G65" s="37"/>
      <c r="H65" s="37"/>
      <c r="I65" s="39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37"/>
      <c r="BD65" s="37"/>
      <c r="BE65" s="37"/>
      <c r="BF65" s="37"/>
      <c r="BG65" s="37"/>
      <c r="BH65" s="37"/>
      <c r="BI65" s="37"/>
      <c r="BJ65" s="37"/>
      <c r="BK65" s="37"/>
      <c r="BL65" s="37"/>
      <c r="BM65" s="37"/>
      <c r="BN65" s="37"/>
      <c r="BO65" s="37"/>
      <c r="BP65" s="37"/>
      <c r="BQ65" s="37"/>
      <c r="BR65" s="37"/>
      <c r="BS65" s="37"/>
      <c r="BT65" s="37"/>
      <c r="BU65" s="37"/>
      <c r="BV65" s="32">
        <f t="shared" ca="1" si="0"/>
        <v>121</v>
      </c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DK65" s="27"/>
      <c r="DL65" s="28"/>
      <c r="DM65" s="28"/>
      <c r="DN65" s="28"/>
      <c r="DO65" s="28"/>
    </row>
    <row r="66" spans="1:119" x14ac:dyDescent="0.3">
      <c r="A66" s="40"/>
      <c r="B66" s="37"/>
      <c r="C66" s="37"/>
      <c r="D66" s="37"/>
      <c r="E66" s="37"/>
      <c r="F66" s="37"/>
      <c r="G66" s="37"/>
      <c r="H66" s="37"/>
      <c r="I66" s="39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37"/>
      <c r="BD66" s="37"/>
      <c r="BE66" s="37"/>
      <c r="BF66" s="37"/>
      <c r="BG66" s="37"/>
      <c r="BH66" s="37"/>
      <c r="BI66" s="37"/>
      <c r="BJ66" s="37"/>
      <c r="BK66" s="37"/>
      <c r="BL66" s="37"/>
      <c r="BM66" s="37"/>
      <c r="BN66" s="37"/>
      <c r="BO66" s="37"/>
      <c r="BP66" s="37"/>
      <c r="BQ66" s="37"/>
      <c r="BR66" s="37"/>
      <c r="BS66" s="37"/>
      <c r="BT66" s="37"/>
      <c r="BU66" s="37"/>
      <c r="BV66" s="32">
        <f t="shared" ca="1" si="0"/>
        <v>121</v>
      </c>
      <c r="BW66" s="32"/>
      <c r="BX66" s="32"/>
      <c r="BY66" s="32"/>
      <c r="BZ66" s="32"/>
      <c r="CA66" s="32"/>
      <c r="CB66" s="32"/>
      <c r="CC66" s="32"/>
      <c r="CD66" s="32"/>
      <c r="CE66" s="32"/>
      <c r="CF66" s="32"/>
      <c r="CG66" s="32"/>
      <c r="DK66" s="27"/>
      <c r="DL66" s="28"/>
      <c r="DM66" s="28"/>
      <c r="DN66" s="28"/>
      <c r="DO66" s="28"/>
    </row>
    <row r="67" spans="1:119" x14ac:dyDescent="0.3">
      <c r="A67" s="38"/>
      <c r="B67" s="37"/>
      <c r="C67" s="37"/>
      <c r="D67" s="37"/>
      <c r="E67" s="37"/>
      <c r="F67" s="37"/>
      <c r="G67" s="37"/>
      <c r="H67" s="37"/>
      <c r="I67" s="39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37"/>
      <c r="BD67" s="37"/>
      <c r="BE67" s="37"/>
      <c r="BF67" s="37"/>
      <c r="BG67" s="37"/>
      <c r="BH67" s="37"/>
      <c r="BI67" s="37"/>
      <c r="BJ67" s="37"/>
      <c r="BK67" s="37"/>
      <c r="BL67" s="37"/>
      <c r="BM67" s="37"/>
      <c r="BN67" s="37"/>
      <c r="BO67" s="37"/>
      <c r="BP67" s="37"/>
      <c r="BQ67" s="37"/>
      <c r="BR67" s="37"/>
      <c r="BS67" s="37"/>
      <c r="BT67" s="37"/>
      <c r="BU67"/>
      <c r="BV67" s="32">
        <f t="shared" ca="1" si="0"/>
        <v>121</v>
      </c>
      <c r="BW67" s="32"/>
      <c r="BX67" s="32"/>
      <c r="BY67" s="32"/>
      <c r="BZ67" s="32"/>
      <c r="CA67" s="32"/>
      <c r="CB67" s="32"/>
      <c r="CC67" s="32"/>
      <c r="CD67" s="32"/>
      <c r="CE67" s="32"/>
      <c r="CF67" s="32"/>
      <c r="CG67" s="32"/>
      <c r="DK67" s="27"/>
      <c r="DL67" s="28"/>
      <c r="DM67" s="28"/>
      <c r="DN67" s="28"/>
      <c r="DO67" s="28"/>
    </row>
    <row r="68" spans="1:119" x14ac:dyDescent="0.3">
      <c r="A68" s="40"/>
      <c r="B68" s="37"/>
      <c r="C68" s="37"/>
      <c r="D68" s="37"/>
      <c r="E68" s="37"/>
      <c r="F68" s="37"/>
      <c r="G68" s="37"/>
      <c r="H68" s="37"/>
      <c r="I68" s="39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7"/>
      <c r="AX68" s="37"/>
      <c r="AY68" s="37"/>
      <c r="AZ68" s="37"/>
      <c r="BA68" s="37"/>
      <c r="BB68" s="37"/>
      <c r="BC68" s="37"/>
      <c r="BD68" s="37"/>
      <c r="BE68" s="37"/>
      <c r="BF68" s="37"/>
      <c r="BG68" s="37"/>
      <c r="BH68" s="37"/>
      <c r="BI68" s="37"/>
      <c r="BJ68" s="37"/>
      <c r="BK68" s="37"/>
      <c r="BL68" s="37"/>
      <c r="BM68" s="37"/>
      <c r="BN68" s="37"/>
      <c r="BO68" s="37"/>
      <c r="BP68" s="37"/>
      <c r="BQ68" s="37"/>
      <c r="BR68" s="37"/>
      <c r="BS68" s="37"/>
      <c r="BT68" s="37"/>
      <c r="BU68"/>
      <c r="BV68" s="32">
        <f t="shared" ca="1" si="0"/>
        <v>121</v>
      </c>
      <c r="BW68" s="32"/>
      <c r="BX68" s="32"/>
      <c r="BY68" s="32"/>
      <c r="BZ68" s="32"/>
      <c r="CA68" s="32"/>
      <c r="CB68" s="32"/>
      <c r="CC68" s="32"/>
      <c r="CD68" s="32"/>
      <c r="CE68" s="32"/>
      <c r="CF68" s="32"/>
      <c r="CG68" s="32"/>
      <c r="DK68" s="27"/>
      <c r="DL68" s="28"/>
      <c r="DM68" s="28"/>
      <c r="DN68" s="28"/>
      <c r="DO68" s="28"/>
    </row>
    <row r="69" spans="1:119" x14ac:dyDescent="0.3">
      <c r="A69" s="40"/>
      <c r="B69" s="37"/>
      <c r="C69" s="37"/>
      <c r="D69" s="37"/>
      <c r="E69" s="37"/>
      <c r="F69" s="37"/>
      <c r="G69" s="37"/>
      <c r="H69" s="37"/>
      <c r="I69" s="39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s="37"/>
      <c r="BD69" s="37"/>
      <c r="BE69" s="37"/>
      <c r="BF69" s="37"/>
      <c r="BG69" s="37"/>
      <c r="BH69" s="37"/>
      <c r="BI69" s="37"/>
      <c r="BJ69" s="37"/>
      <c r="BK69" s="37"/>
      <c r="BL69" s="37"/>
      <c r="BM69" s="37"/>
      <c r="BN69" s="37"/>
      <c r="BO69" s="37"/>
      <c r="BP69" s="37"/>
      <c r="BQ69" s="37"/>
      <c r="BR69" s="37"/>
      <c r="BS69" s="37"/>
      <c r="BT69" s="37"/>
      <c r="BU69" s="37"/>
      <c r="BV69" s="32">
        <f t="shared" ca="1" si="0"/>
        <v>121</v>
      </c>
      <c r="BW69" s="32"/>
      <c r="BX69" s="32"/>
      <c r="BY69" s="32"/>
      <c r="BZ69" s="32"/>
      <c r="CA69" s="32"/>
      <c r="CB69" s="32"/>
      <c r="CC69" s="32"/>
      <c r="CD69" s="32"/>
      <c r="CE69" s="32"/>
      <c r="CF69" s="32"/>
      <c r="CG69" s="32"/>
      <c r="DK69" s="27"/>
      <c r="DL69" s="28"/>
      <c r="DM69" s="28"/>
      <c r="DN69" s="28"/>
      <c r="DO69" s="28"/>
    </row>
    <row r="70" spans="1:119" x14ac:dyDescent="0.3">
      <c r="A70" s="40"/>
      <c r="B70" s="37"/>
      <c r="C70" s="37"/>
      <c r="D70" s="37"/>
      <c r="E70" s="37"/>
      <c r="F70" s="37"/>
      <c r="G70" s="37"/>
      <c r="H70" s="37"/>
      <c r="I70" s="39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7"/>
      <c r="AX70" s="37"/>
      <c r="AY70" s="37"/>
      <c r="AZ70" s="37"/>
      <c r="BA70" s="37"/>
      <c r="BB70" s="37"/>
      <c r="BC70" s="37"/>
      <c r="BD70" s="37"/>
      <c r="BE70" s="37"/>
      <c r="BF70" s="37"/>
      <c r="BG70" s="37"/>
      <c r="BH70" s="37"/>
      <c r="BI70" s="37"/>
      <c r="BJ70" s="37"/>
      <c r="BK70" s="37"/>
      <c r="BL70" s="37"/>
      <c r="BM70" s="37"/>
      <c r="BN70" s="37"/>
      <c r="BO70" s="37"/>
      <c r="BP70" s="37"/>
      <c r="BQ70" s="37"/>
      <c r="BR70" s="37"/>
      <c r="BS70" s="37"/>
      <c r="BT70" s="37"/>
      <c r="BU70" s="37"/>
      <c r="BV70" s="32">
        <f t="shared" ca="1" si="0"/>
        <v>121</v>
      </c>
      <c r="BW70" s="32"/>
      <c r="BX70" s="32"/>
      <c r="BY70" s="32"/>
      <c r="BZ70" s="32"/>
      <c r="CA70" s="32"/>
      <c r="CB70" s="32"/>
      <c r="CC70" s="32"/>
      <c r="CD70" s="32"/>
      <c r="CE70" s="32"/>
      <c r="CF70" s="32"/>
      <c r="CG70" s="32"/>
      <c r="DK70" s="27"/>
      <c r="DL70" s="28"/>
      <c r="DM70" s="28"/>
      <c r="DN70" s="28"/>
      <c r="DO70" s="28"/>
    </row>
    <row r="71" spans="1:119" x14ac:dyDescent="0.3">
      <c r="A71" s="40"/>
      <c r="B71" s="37"/>
      <c r="C71" s="37"/>
      <c r="D71" s="37"/>
      <c r="E71" s="37"/>
      <c r="F71" s="37"/>
      <c r="G71" s="37"/>
      <c r="H71" s="37"/>
      <c r="I71" s="39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s="37"/>
      <c r="BD71" s="37"/>
      <c r="BE71" s="37"/>
      <c r="BF71" s="37"/>
      <c r="BG71" s="37"/>
      <c r="BH71" s="37"/>
      <c r="BI71" s="37"/>
      <c r="BJ71" s="37"/>
      <c r="BK71" s="37"/>
      <c r="BL71" s="37"/>
      <c r="BM71" s="37"/>
      <c r="BN71" s="37"/>
      <c r="BO71" s="37"/>
      <c r="BP71" s="37"/>
      <c r="BQ71" s="37"/>
      <c r="BR71" s="37"/>
      <c r="BS71" s="37"/>
      <c r="BT71" s="37"/>
      <c r="BU71" s="37"/>
      <c r="BV71" s="32">
        <f t="shared" ca="1" si="0"/>
        <v>121</v>
      </c>
      <c r="BW71" s="32"/>
      <c r="BX71" s="32"/>
      <c r="BY71" s="32"/>
      <c r="BZ71" s="32"/>
      <c r="CA71" s="32"/>
      <c r="CB71" s="32"/>
      <c r="CC71" s="32"/>
      <c r="CD71" s="32"/>
      <c r="CE71" s="32"/>
      <c r="CF71" s="32"/>
      <c r="CG71" s="32"/>
      <c r="DK71" s="27"/>
      <c r="DL71" s="28"/>
      <c r="DM71" s="28"/>
      <c r="DN71" s="28"/>
      <c r="DO71" s="28"/>
    </row>
    <row r="72" spans="1:119" x14ac:dyDescent="0.3">
      <c r="A72" s="40"/>
      <c r="B72" s="37"/>
      <c r="C72" s="37"/>
      <c r="D72" s="37"/>
      <c r="E72" s="37"/>
      <c r="F72" s="37"/>
      <c r="G72" s="37"/>
      <c r="H72" s="37"/>
      <c r="I72" s="39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37"/>
      <c r="AZ72" s="37"/>
      <c r="BA72" s="37"/>
      <c r="BB72" s="37"/>
      <c r="BC72" s="37"/>
      <c r="BD72" s="37"/>
      <c r="BE72" s="37"/>
      <c r="BF72" s="37"/>
      <c r="BG72" s="37"/>
      <c r="BH72" s="37"/>
      <c r="BI72" s="37"/>
      <c r="BJ72" s="37"/>
      <c r="BK72" s="37"/>
      <c r="BL72" s="37"/>
      <c r="BM72" s="37"/>
      <c r="BN72" s="37"/>
      <c r="BO72" s="37"/>
      <c r="BP72" s="37"/>
      <c r="BQ72" s="37"/>
      <c r="BR72" s="37"/>
      <c r="BS72" s="37"/>
      <c r="BT72" s="37"/>
      <c r="BU72" s="37"/>
      <c r="BV72" s="32">
        <f t="shared" ca="1" si="0"/>
        <v>121</v>
      </c>
      <c r="BW72" s="32"/>
      <c r="BX72" s="32"/>
      <c r="BY72" s="32"/>
      <c r="BZ72" s="32"/>
      <c r="CA72" s="32"/>
      <c r="CB72" s="32"/>
      <c r="CC72" s="32"/>
      <c r="CD72" s="32"/>
      <c r="CE72" s="32"/>
      <c r="CF72" s="32"/>
      <c r="CG72" s="32"/>
      <c r="DK72" s="27"/>
      <c r="DL72" s="28"/>
      <c r="DM72" s="28"/>
      <c r="DN72" s="28"/>
      <c r="DO72" s="28"/>
    </row>
    <row r="73" spans="1:119" x14ac:dyDescent="0.3">
      <c r="A73" s="40"/>
      <c r="B73" s="37"/>
      <c r="C73" s="37"/>
      <c r="D73" s="37"/>
      <c r="E73" s="37"/>
      <c r="F73" s="37"/>
      <c r="G73" s="37"/>
      <c r="H73" s="37"/>
      <c r="I73" s="39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s="37"/>
      <c r="BD73" s="37"/>
      <c r="BE73" s="37"/>
      <c r="BF73" s="37"/>
      <c r="BG73" s="37"/>
      <c r="BH73" s="37"/>
      <c r="BI73" s="37"/>
      <c r="BJ73" s="37"/>
      <c r="BK73" s="37"/>
      <c r="BL73" s="37"/>
      <c r="BM73" s="37"/>
      <c r="BN73" s="37"/>
      <c r="BO73" s="37"/>
      <c r="BP73" s="37"/>
      <c r="BQ73" s="37"/>
      <c r="BR73" s="37"/>
      <c r="BS73" s="37"/>
      <c r="BT73" s="37"/>
      <c r="BU73" s="37"/>
      <c r="BV73" s="32">
        <f t="shared" ca="1" si="0"/>
        <v>121</v>
      </c>
      <c r="BW73" s="32"/>
      <c r="BX73" s="32"/>
      <c r="BY73" s="32"/>
      <c r="BZ73" s="32"/>
      <c r="CA73" s="32"/>
      <c r="CB73" s="32"/>
      <c r="CC73" s="32"/>
      <c r="CD73" s="32"/>
      <c r="CE73" s="32"/>
      <c r="CF73" s="32"/>
      <c r="CG73" s="32"/>
      <c r="DK73" s="27"/>
      <c r="DL73" s="28"/>
      <c r="DM73" s="28"/>
      <c r="DN73" s="28"/>
      <c r="DO73" s="28"/>
    </row>
    <row r="74" spans="1:119" x14ac:dyDescent="0.3">
      <c r="A74" s="40"/>
      <c r="B74" s="37"/>
      <c r="C74" s="37"/>
      <c r="D74" s="37"/>
      <c r="E74" s="37"/>
      <c r="F74" s="37"/>
      <c r="G74" s="37"/>
      <c r="H74" s="37"/>
      <c r="I74" s="39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7"/>
      <c r="AX74" s="37"/>
      <c r="AY74" s="37"/>
      <c r="AZ74" s="37"/>
      <c r="BA74" s="37"/>
      <c r="BB74" s="37"/>
      <c r="BC74" s="37"/>
      <c r="BD74" s="37"/>
      <c r="BE74" s="37"/>
      <c r="BF74" s="37"/>
      <c r="BG74" s="37"/>
      <c r="BH74" s="37"/>
      <c r="BI74" s="37"/>
      <c r="BJ74" s="37"/>
      <c r="BK74" s="37"/>
      <c r="BL74" s="37"/>
      <c r="BM74" s="37"/>
      <c r="BN74" s="37"/>
      <c r="BO74" s="37"/>
      <c r="BP74" s="37"/>
      <c r="BQ74" s="37"/>
      <c r="BR74" s="37"/>
      <c r="BS74" s="37"/>
      <c r="BT74" s="37"/>
      <c r="BU74"/>
      <c r="BV74" s="32">
        <f t="shared" ca="1" si="0"/>
        <v>121</v>
      </c>
      <c r="BW74" s="32"/>
      <c r="BX74" s="32"/>
      <c r="BY74" s="32"/>
      <c r="BZ74" s="32"/>
      <c r="CA74" s="32"/>
      <c r="CB74" s="32"/>
      <c r="CC74" s="32"/>
      <c r="CD74" s="32"/>
      <c r="CE74" s="32"/>
      <c r="CF74" s="32"/>
      <c r="CG74" s="32"/>
      <c r="DK74" s="27"/>
      <c r="DL74" s="28"/>
      <c r="DM74" s="28"/>
      <c r="DN74" s="28"/>
      <c r="DO74" s="28"/>
    </row>
    <row r="75" spans="1:119" x14ac:dyDescent="0.3">
      <c r="A75" s="40"/>
      <c r="B75" s="37"/>
      <c r="C75" s="37"/>
      <c r="D75" s="37"/>
      <c r="E75" s="42"/>
      <c r="F75" s="37"/>
      <c r="G75" s="37"/>
      <c r="H75" s="37"/>
      <c r="I75" s="39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  <c r="BJ75" s="37"/>
      <c r="BK75" s="37"/>
      <c r="BL75" s="37"/>
      <c r="BM75" s="37"/>
      <c r="BN75" s="37"/>
      <c r="BO75" s="37"/>
      <c r="BP75" s="37"/>
      <c r="BQ75" s="37"/>
      <c r="BR75" s="37"/>
      <c r="BS75" s="37"/>
      <c r="BT75" s="37"/>
      <c r="BU75" s="4"/>
      <c r="BV75" s="32">
        <f t="shared" ca="1" si="0"/>
        <v>121</v>
      </c>
      <c r="BW75" s="32"/>
      <c r="BX75" s="32"/>
      <c r="BY75" s="32"/>
      <c r="BZ75" s="32"/>
      <c r="CA75" s="32"/>
      <c r="CB75" s="32"/>
      <c r="CC75" s="32"/>
      <c r="CD75" s="32"/>
      <c r="CE75" s="32"/>
      <c r="CF75" s="32"/>
      <c r="CG75" s="32"/>
      <c r="DK75" s="27"/>
      <c r="DL75" s="28"/>
      <c r="DM75" s="28"/>
      <c r="DN75" s="28"/>
      <c r="DO75" s="29"/>
    </row>
    <row r="76" spans="1:119" x14ac:dyDescent="0.3">
      <c r="A76" s="2"/>
      <c r="B76" s="2"/>
      <c r="C76" s="43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32">
        <f t="shared" ca="1" si="0"/>
        <v>121</v>
      </c>
    </row>
    <row r="77" spans="1:119" x14ac:dyDescent="0.3">
      <c r="BV77" s="32">
        <f t="shared" ref="BV77:BV140" ca="1" si="1">INT((TODAY()-$I77)/365)</f>
        <v>121</v>
      </c>
    </row>
    <row r="78" spans="1:119" x14ac:dyDescent="0.3">
      <c r="BV78" s="32">
        <f t="shared" ca="1" si="1"/>
        <v>121</v>
      </c>
    </row>
    <row r="79" spans="1:119" x14ac:dyDescent="0.3">
      <c r="BV79" s="32">
        <f t="shared" ca="1" si="1"/>
        <v>121</v>
      </c>
    </row>
    <row r="80" spans="1:119" x14ac:dyDescent="0.3">
      <c r="BV80" s="32">
        <f t="shared" ca="1" si="1"/>
        <v>121</v>
      </c>
    </row>
    <row r="81" spans="74:74" x14ac:dyDescent="0.3">
      <c r="BV81" s="32">
        <f t="shared" ca="1" si="1"/>
        <v>121</v>
      </c>
    </row>
    <row r="82" spans="74:74" x14ac:dyDescent="0.3">
      <c r="BV82" s="32">
        <f t="shared" ca="1" si="1"/>
        <v>121</v>
      </c>
    </row>
    <row r="83" spans="74:74" x14ac:dyDescent="0.3">
      <c r="BV83" s="32">
        <f t="shared" ca="1" si="1"/>
        <v>121</v>
      </c>
    </row>
    <row r="84" spans="74:74" x14ac:dyDescent="0.3">
      <c r="BV84" s="32">
        <f t="shared" ca="1" si="1"/>
        <v>121</v>
      </c>
    </row>
    <row r="85" spans="74:74" x14ac:dyDescent="0.3">
      <c r="BV85" s="32">
        <f t="shared" ca="1" si="1"/>
        <v>121</v>
      </c>
    </row>
    <row r="86" spans="74:74" x14ac:dyDescent="0.3">
      <c r="BV86" s="32">
        <f t="shared" ca="1" si="1"/>
        <v>121</v>
      </c>
    </row>
    <row r="87" spans="74:74" x14ac:dyDescent="0.3">
      <c r="BV87" s="32">
        <f t="shared" ca="1" si="1"/>
        <v>121</v>
      </c>
    </row>
    <row r="88" spans="74:74" x14ac:dyDescent="0.3">
      <c r="BV88" s="32">
        <f t="shared" ca="1" si="1"/>
        <v>121</v>
      </c>
    </row>
    <row r="89" spans="74:74" x14ac:dyDescent="0.3">
      <c r="BV89" s="32">
        <f t="shared" ca="1" si="1"/>
        <v>121</v>
      </c>
    </row>
    <row r="90" spans="74:74" x14ac:dyDescent="0.3">
      <c r="BV90" s="32">
        <f t="shared" ca="1" si="1"/>
        <v>121</v>
      </c>
    </row>
    <row r="91" spans="74:74" x14ac:dyDescent="0.3">
      <c r="BV91" s="32">
        <f t="shared" ca="1" si="1"/>
        <v>121</v>
      </c>
    </row>
    <row r="92" spans="74:74" x14ac:dyDescent="0.3">
      <c r="BV92" s="32">
        <f t="shared" ca="1" si="1"/>
        <v>121</v>
      </c>
    </row>
    <row r="93" spans="74:74" x14ac:dyDescent="0.3">
      <c r="BV93" s="32">
        <f t="shared" ca="1" si="1"/>
        <v>121</v>
      </c>
    </row>
    <row r="94" spans="74:74" x14ac:dyDescent="0.3">
      <c r="BV94" s="32">
        <f t="shared" ca="1" si="1"/>
        <v>121</v>
      </c>
    </row>
    <row r="95" spans="74:74" x14ac:dyDescent="0.3">
      <c r="BV95" s="32">
        <f t="shared" ca="1" si="1"/>
        <v>121</v>
      </c>
    </row>
    <row r="96" spans="74:74" x14ac:dyDescent="0.3">
      <c r="BV96" s="32">
        <f t="shared" ca="1" si="1"/>
        <v>121</v>
      </c>
    </row>
    <row r="97" spans="74:74" x14ac:dyDescent="0.3">
      <c r="BV97" s="32">
        <f t="shared" ca="1" si="1"/>
        <v>121</v>
      </c>
    </row>
    <row r="98" spans="74:74" x14ac:dyDescent="0.3">
      <c r="BV98" s="32">
        <f t="shared" ca="1" si="1"/>
        <v>121</v>
      </c>
    </row>
    <row r="99" spans="74:74" x14ac:dyDescent="0.3">
      <c r="BV99" s="32">
        <f t="shared" ca="1" si="1"/>
        <v>121</v>
      </c>
    </row>
    <row r="100" spans="74:74" x14ac:dyDescent="0.3">
      <c r="BV100" s="32">
        <f t="shared" ca="1" si="1"/>
        <v>121</v>
      </c>
    </row>
    <row r="101" spans="74:74" x14ac:dyDescent="0.3">
      <c r="BV101" s="32">
        <f t="shared" ca="1" si="1"/>
        <v>121</v>
      </c>
    </row>
    <row r="102" spans="74:74" x14ac:dyDescent="0.3">
      <c r="BV102" s="32">
        <f t="shared" ca="1" si="1"/>
        <v>121</v>
      </c>
    </row>
    <row r="103" spans="74:74" x14ac:dyDescent="0.3">
      <c r="BV103" s="32">
        <f t="shared" ca="1" si="1"/>
        <v>121</v>
      </c>
    </row>
    <row r="104" spans="74:74" x14ac:dyDescent="0.3">
      <c r="BV104" s="32">
        <f t="shared" ca="1" si="1"/>
        <v>121</v>
      </c>
    </row>
    <row r="105" spans="74:74" x14ac:dyDescent="0.3">
      <c r="BV105" s="32">
        <f t="shared" ca="1" si="1"/>
        <v>121</v>
      </c>
    </row>
    <row r="106" spans="74:74" x14ac:dyDescent="0.3">
      <c r="BV106" s="32">
        <f t="shared" ca="1" si="1"/>
        <v>121</v>
      </c>
    </row>
    <row r="107" spans="74:74" x14ac:dyDescent="0.3">
      <c r="BV107" s="32">
        <f t="shared" ca="1" si="1"/>
        <v>121</v>
      </c>
    </row>
    <row r="108" spans="74:74" x14ac:dyDescent="0.3">
      <c r="BV108" s="32">
        <f t="shared" ca="1" si="1"/>
        <v>121</v>
      </c>
    </row>
    <row r="109" spans="74:74" x14ac:dyDescent="0.3">
      <c r="BV109" s="32">
        <f t="shared" ca="1" si="1"/>
        <v>121</v>
      </c>
    </row>
    <row r="110" spans="74:74" x14ac:dyDescent="0.3">
      <c r="BV110" s="32">
        <f t="shared" ca="1" si="1"/>
        <v>121</v>
      </c>
    </row>
    <row r="111" spans="74:74" x14ac:dyDescent="0.3">
      <c r="BV111" s="32">
        <f t="shared" ca="1" si="1"/>
        <v>121</v>
      </c>
    </row>
    <row r="112" spans="74:74" x14ac:dyDescent="0.3">
      <c r="BV112" s="32">
        <f t="shared" ca="1" si="1"/>
        <v>121</v>
      </c>
    </row>
    <row r="113" spans="74:74" x14ac:dyDescent="0.3">
      <c r="BV113" s="32">
        <f t="shared" ca="1" si="1"/>
        <v>121</v>
      </c>
    </row>
    <row r="114" spans="74:74" x14ac:dyDescent="0.3">
      <c r="BV114" s="32">
        <f t="shared" ca="1" si="1"/>
        <v>121</v>
      </c>
    </row>
    <row r="115" spans="74:74" x14ac:dyDescent="0.3">
      <c r="BV115" s="32">
        <f t="shared" ca="1" si="1"/>
        <v>121</v>
      </c>
    </row>
    <row r="116" spans="74:74" x14ac:dyDescent="0.3">
      <c r="BV116" s="32">
        <f t="shared" ca="1" si="1"/>
        <v>121</v>
      </c>
    </row>
    <row r="117" spans="74:74" x14ac:dyDescent="0.3">
      <c r="BV117" s="32">
        <f t="shared" ca="1" si="1"/>
        <v>121</v>
      </c>
    </row>
    <row r="118" spans="74:74" x14ac:dyDescent="0.3">
      <c r="BV118" s="32">
        <f t="shared" ca="1" si="1"/>
        <v>121</v>
      </c>
    </row>
    <row r="119" spans="74:74" x14ac:dyDescent="0.3">
      <c r="BV119" s="32">
        <f t="shared" ca="1" si="1"/>
        <v>121</v>
      </c>
    </row>
    <row r="120" spans="74:74" x14ac:dyDescent="0.3">
      <c r="BV120" s="32">
        <f t="shared" ca="1" si="1"/>
        <v>121</v>
      </c>
    </row>
    <row r="121" spans="74:74" x14ac:dyDescent="0.3">
      <c r="BV121" s="32">
        <f t="shared" ca="1" si="1"/>
        <v>121</v>
      </c>
    </row>
    <row r="122" spans="74:74" x14ac:dyDescent="0.3">
      <c r="BV122" s="32">
        <f t="shared" ca="1" si="1"/>
        <v>121</v>
      </c>
    </row>
    <row r="123" spans="74:74" x14ac:dyDescent="0.3">
      <c r="BV123" s="32">
        <f t="shared" ca="1" si="1"/>
        <v>121</v>
      </c>
    </row>
    <row r="124" spans="74:74" x14ac:dyDescent="0.3">
      <c r="BV124" s="32">
        <f t="shared" ca="1" si="1"/>
        <v>121</v>
      </c>
    </row>
    <row r="125" spans="74:74" x14ac:dyDescent="0.3">
      <c r="BV125" s="32">
        <f t="shared" ca="1" si="1"/>
        <v>121</v>
      </c>
    </row>
    <row r="126" spans="74:74" x14ac:dyDescent="0.3">
      <c r="BV126" s="32">
        <f t="shared" ca="1" si="1"/>
        <v>121</v>
      </c>
    </row>
    <row r="127" spans="74:74" x14ac:dyDescent="0.3">
      <c r="BV127" s="32">
        <f t="shared" ca="1" si="1"/>
        <v>121</v>
      </c>
    </row>
    <row r="128" spans="74:74" x14ac:dyDescent="0.3">
      <c r="BV128" s="32">
        <f t="shared" ca="1" si="1"/>
        <v>121</v>
      </c>
    </row>
    <row r="129" spans="74:74" x14ac:dyDescent="0.3">
      <c r="BV129" s="32">
        <f t="shared" ca="1" si="1"/>
        <v>121</v>
      </c>
    </row>
    <row r="130" spans="74:74" x14ac:dyDescent="0.3">
      <c r="BV130" s="32">
        <f t="shared" ca="1" si="1"/>
        <v>121</v>
      </c>
    </row>
    <row r="131" spans="74:74" x14ac:dyDescent="0.3">
      <c r="BV131" s="32">
        <f t="shared" ca="1" si="1"/>
        <v>121</v>
      </c>
    </row>
    <row r="132" spans="74:74" x14ac:dyDescent="0.3">
      <c r="BV132" s="32">
        <f t="shared" ca="1" si="1"/>
        <v>121</v>
      </c>
    </row>
    <row r="133" spans="74:74" x14ac:dyDescent="0.3">
      <c r="BV133" s="32">
        <f t="shared" ca="1" si="1"/>
        <v>121</v>
      </c>
    </row>
    <row r="134" spans="74:74" x14ac:dyDescent="0.3">
      <c r="BV134" s="32">
        <f t="shared" ca="1" si="1"/>
        <v>121</v>
      </c>
    </row>
    <row r="135" spans="74:74" x14ac:dyDescent="0.3">
      <c r="BV135" s="32">
        <f t="shared" ca="1" si="1"/>
        <v>121</v>
      </c>
    </row>
    <row r="136" spans="74:74" x14ac:dyDescent="0.3">
      <c r="BV136" s="32">
        <f t="shared" ca="1" si="1"/>
        <v>121</v>
      </c>
    </row>
    <row r="137" spans="74:74" x14ac:dyDescent="0.3">
      <c r="BV137" s="32">
        <f t="shared" ca="1" si="1"/>
        <v>121</v>
      </c>
    </row>
    <row r="138" spans="74:74" x14ac:dyDescent="0.3">
      <c r="BV138" s="32">
        <f t="shared" ca="1" si="1"/>
        <v>121</v>
      </c>
    </row>
    <row r="139" spans="74:74" x14ac:dyDescent="0.3">
      <c r="BV139" s="32">
        <f t="shared" ca="1" si="1"/>
        <v>121</v>
      </c>
    </row>
    <row r="140" spans="74:74" x14ac:dyDescent="0.3">
      <c r="BV140" s="32">
        <f t="shared" ca="1" si="1"/>
        <v>121</v>
      </c>
    </row>
    <row r="141" spans="74:74" x14ac:dyDescent="0.3">
      <c r="BV141" s="32">
        <f t="shared" ref="BV141:BV204" ca="1" si="2">INT((TODAY()-$I141)/365)</f>
        <v>121</v>
      </c>
    </row>
    <row r="142" spans="74:74" x14ac:dyDescent="0.3">
      <c r="BV142" s="32">
        <f t="shared" ca="1" si="2"/>
        <v>121</v>
      </c>
    </row>
    <row r="143" spans="74:74" x14ac:dyDescent="0.3">
      <c r="BV143" s="32">
        <f t="shared" ca="1" si="2"/>
        <v>121</v>
      </c>
    </row>
    <row r="144" spans="74:74" x14ac:dyDescent="0.3">
      <c r="BV144" s="32">
        <f t="shared" ca="1" si="2"/>
        <v>121</v>
      </c>
    </row>
    <row r="145" spans="74:74" x14ac:dyDescent="0.3">
      <c r="BV145" s="32">
        <f t="shared" ca="1" si="2"/>
        <v>121</v>
      </c>
    </row>
    <row r="146" spans="74:74" x14ac:dyDescent="0.3">
      <c r="BV146" s="32">
        <f t="shared" ca="1" si="2"/>
        <v>121</v>
      </c>
    </row>
    <row r="147" spans="74:74" x14ac:dyDescent="0.3">
      <c r="BV147" s="32">
        <f t="shared" ca="1" si="2"/>
        <v>121</v>
      </c>
    </row>
    <row r="148" spans="74:74" x14ac:dyDescent="0.3">
      <c r="BV148" s="32">
        <f t="shared" ca="1" si="2"/>
        <v>121</v>
      </c>
    </row>
    <row r="149" spans="74:74" x14ac:dyDescent="0.3">
      <c r="BV149" s="32">
        <f t="shared" ca="1" si="2"/>
        <v>121</v>
      </c>
    </row>
    <row r="150" spans="74:74" x14ac:dyDescent="0.3">
      <c r="BV150" s="32">
        <f t="shared" ca="1" si="2"/>
        <v>121</v>
      </c>
    </row>
    <row r="151" spans="74:74" x14ac:dyDescent="0.3">
      <c r="BV151" s="32">
        <f t="shared" ca="1" si="2"/>
        <v>121</v>
      </c>
    </row>
    <row r="152" spans="74:74" x14ac:dyDescent="0.3">
      <c r="BV152" s="32">
        <f t="shared" ca="1" si="2"/>
        <v>121</v>
      </c>
    </row>
    <row r="153" spans="74:74" x14ac:dyDescent="0.3">
      <c r="BV153" s="32">
        <f t="shared" ca="1" si="2"/>
        <v>121</v>
      </c>
    </row>
    <row r="154" spans="74:74" x14ac:dyDescent="0.3">
      <c r="BV154" s="32">
        <f t="shared" ca="1" si="2"/>
        <v>121</v>
      </c>
    </row>
    <row r="155" spans="74:74" x14ac:dyDescent="0.3">
      <c r="BV155" s="32">
        <f t="shared" ca="1" si="2"/>
        <v>121</v>
      </c>
    </row>
    <row r="156" spans="74:74" x14ac:dyDescent="0.3">
      <c r="BV156" s="32">
        <f t="shared" ca="1" si="2"/>
        <v>121</v>
      </c>
    </row>
    <row r="157" spans="74:74" x14ac:dyDescent="0.3">
      <c r="BV157" s="32">
        <f t="shared" ca="1" si="2"/>
        <v>121</v>
      </c>
    </row>
    <row r="158" spans="74:74" x14ac:dyDescent="0.3">
      <c r="BV158" s="32">
        <f t="shared" ca="1" si="2"/>
        <v>121</v>
      </c>
    </row>
    <row r="159" spans="74:74" x14ac:dyDescent="0.3">
      <c r="BV159" s="32">
        <f t="shared" ca="1" si="2"/>
        <v>121</v>
      </c>
    </row>
    <row r="160" spans="74:74" x14ac:dyDescent="0.3">
      <c r="BV160" s="32">
        <f t="shared" ca="1" si="2"/>
        <v>121</v>
      </c>
    </row>
    <row r="161" spans="74:74" x14ac:dyDescent="0.3">
      <c r="BV161" s="32">
        <f t="shared" ca="1" si="2"/>
        <v>121</v>
      </c>
    </row>
    <row r="162" spans="74:74" x14ac:dyDescent="0.3">
      <c r="BV162" s="32">
        <f t="shared" ca="1" si="2"/>
        <v>121</v>
      </c>
    </row>
    <row r="163" spans="74:74" x14ac:dyDescent="0.3">
      <c r="BV163" s="32">
        <f t="shared" ca="1" si="2"/>
        <v>121</v>
      </c>
    </row>
    <row r="164" spans="74:74" x14ac:dyDescent="0.3">
      <c r="BV164" s="32">
        <f t="shared" ca="1" si="2"/>
        <v>121</v>
      </c>
    </row>
    <row r="165" spans="74:74" x14ac:dyDescent="0.3">
      <c r="BV165" s="32">
        <f t="shared" ca="1" si="2"/>
        <v>121</v>
      </c>
    </row>
    <row r="166" spans="74:74" x14ac:dyDescent="0.3">
      <c r="BV166" s="32">
        <f t="shared" ca="1" si="2"/>
        <v>121</v>
      </c>
    </row>
    <row r="167" spans="74:74" x14ac:dyDescent="0.3">
      <c r="BV167" s="32">
        <f t="shared" ca="1" si="2"/>
        <v>121</v>
      </c>
    </row>
    <row r="168" spans="74:74" x14ac:dyDescent="0.3">
      <c r="BV168" s="32">
        <f t="shared" ca="1" si="2"/>
        <v>121</v>
      </c>
    </row>
    <row r="169" spans="74:74" x14ac:dyDescent="0.3">
      <c r="BV169" s="32">
        <f t="shared" ca="1" si="2"/>
        <v>121</v>
      </c>
    </row>
    <row r="170" spans="74:74" x14ac:dyDescent="0.3">
      <c r="BV170" s="32">
        <f t="shared" ca="1" si="2"/>
        <v>121</v>
      </c>
    </row>
    <row r="171" spans="74:74" x14ac:dyDescent="0.3">
      <c r="BV171" s="32">
        <f t="shared" ca="1" si="2"/>
        <v>121</v>
      </c>
    </row>
    <row r="172" spans="74:74" x14ac:dyDescent="0.3">
      <c r="BV172" s="32">
        <f t="shared" ca="1" si="2"/>
        <v>121</v>
      </c>
    </row>
    <row r="173" spans="74:74" x14ac:dyDescent="0.3">
      <c r="BV173" s="32">
        <f t="shared" ca="1" si="2"/>
        <v>121</v>
      </c>
    </row>
    <row r="174" spans="74:74" x14ac:dyDescent="0.3">
      <c r="BV174" s="32">
        <f t="shared" ca="1" si="2"/>
        <v>121</v>
      </c>
    </row>
    <row r="175" spans="74:74" x14ac:dyDescent="0.3">
      <c r="BV175" s="32">
        <f t="shared" ca="1" si="2"/>
        <v>121</v>
      </c>
    </row>
    <row r="176" spans="74:74" x14ac:dyDescent="0.3">
      <c r="BV176" s="32">
        <f t="shared" ca="1" si="2"/>
        <v>121</v>
      </c>
    </row>
    <row r="177" spans="74:74" x14ac:dyDescent="0.3">
      <c r="BV177" s="32">
        <f t="shared" ca="1" si="2"/>
        <v>121</v>
      </c>
    </row>
    <row r="178" spans="74:74" x14ac:dyDescent="0.3">
      <c r="BV178" s="32">
        <f t="shared" ca="1" si="2"/>
        <v>121</v>
      </c>
    </row>
    <row r="179" spans="74:74" x14ac:dyDescent="0.3">
      <c r="BV179" s="32">
        <f t="shared" ca="1" si="2"/>
        <v>121</v>
      </c>
    </row>
    <row r="180" spans="74:74" x14ac:dyDescent="0.3">
      <c r="BV180" s="32">
        <f t="shared" ca="1" si="2"/>
        <v>121</v>
      </c>
    </row>
    <row r="181" spans="74:74" x14ac:dyDescent="0.3">
      <c r="BV181" s="32">
        <f t="shared" ca="1" si="2"/>
        <v>121</v>
      </c>
    </row>
    <row r="182" spans="74:74" x14ac:dyDescent="0.3">
      <c r="BV182" s="32">
        <f t="shared" ca="1" si="2"/>
        <v>121</v>
      </c>
    </row>
    <row r="183" spans="74:74" x14ac:dyDescent="0.3">
      <c r="BV183" s="32">
        <f t="shared" ca="1" si="2"/>
        <v>121</v>
      </c>
    </row>
    <row r="184" spans="74:74" x14ac:dyDescent="0.3">
      <c r="BV184" s="32">
        <f t="shared" ca="1" si="2"/>
        <v>121</v>
      </c>
    </row>
    <row r="185" spans="74:74" x14ac:dyDescent="0.3">
      <c r="BV185" s="32">
        <f t="shared" ca="1" si="2"/>
        <v>121</v>
      </c>
    </row>
    <row r="186" spans="74:74" x14ac:dyDescent="0.3">
      <c r="BV186" s="32">
        <f t="shared" ca="1" si="2"/>
        <v>121</v>
      </c>
    </row>
    <row r="187" spans="74:74" x14ac:dyDescent="0.3">
      <c r="BV187" s="32">
        <f t="shared" ca="1" si="2"/>
        <v>121</v>
      </c>
    </row>
    <row r="188" spans="74:74" x14ac:dyDescent="0.3">
      <c r="BV188" s="32">
        <f t="shared" ca="1" si="2"/>
        <v>121</v>
      </c>
    </row>
    <row r="189" spans="74:74" x14ac:dyDescent="0.3">
      <c r="BV189" s="32">
        <f t="shared" ca="1" si="2"/>
        <v>121</v>
      </c>
    </row>
    <row r="190" spans="74:74" x14ac:dyDescent="0.3">
      <c r="BV190" s="32">
        <f t="shared" ca="1" si="2"/>
        <v>121</v>
      </c>
    </row>
    <row r="191" spans="74:74" x14ac:dyDescent="0.3">
      <c r="BV191" s="32">
        <f t="shared" ca="1" si="2"/>
        <v>121</v>
      </c>
    </row>
    <row r="192" spans="74:74" x14ac:dyDescent="0.3">
      <c r="BV192" s="32">
        <f t="shared" ca="1" si="2"/>
        <v>121</v>
      </c>
    </row>
    <row r="193" spans="74:74" x14ac:dyDescent="0.3">
      <c r="BV193" s="32">
        <f t="shared" ca="1" si="2"/>
        <v>121</v>
      </c>
    </row>
    <row r="194" spans="74:74" x14ac:dyDescent="0.3">
      <c r="BV194" s="32">
        <f t="shared" ca="1" si="2"/>
        <v>121</v>
      </c>
    </row>
    <row r="195" spans="74:74" x14ac:dyDescent="0.3">
      <c r="BV195" s="32">
        <f t="shared" ca="1" si="2"/>
        <v>121</v>
      </c>
    </row>
    <row r="196" spans="74:74" x14ac:dyDescent="0.3">
      <c r="BV196" s="32">
        <f t="shared" ca="1" si="2"/>
        <v>121</v>
      </c>
    </row>
    <row r="197" spans="74:74" x14ac:dyDescent="0.3">
      <c r="BV197" s="32">
        <f t="shared" ca="1" si="2"/>
        <v>121</v>
      </c>
    </row>
    <row r="198" spans="74:74" x14ac:dyDescent="0.3">
      <c r="BV198" s="32">
        <f t="shared" ca="1" si="2"/>
        <v>121</v>
      </c>
    </row>
    <row r="199" spans="74:74" x14ac:dyDescent="0.3">
      <c r="BV199" s="32">
        <f t="shared" ca="1" si="2"/>
        <v>121</v>
      </c>
    </row>
    <row r="200" spans="74:74" x14ac:dyDescent="0.3">
      <c r="BV200" s="32">
        <f t="shared" ca="1" si="2"/>
        <v>121</v>
      </c>
    </row>
    <row r="201" spans="74:74" x14ac:dyDescent="0.3">
      <c r="BV201" s="32">
        <f t="shared" ca="1" si="2"/>
        <v>121</v>
      </c>
    </row>
    <row r="202" spans="74:74" x14ac:dyDescent="0.3">
      <c r="BV202" s="32">
        <f t="shared" ca="1" si="2"/>
        <v>121</v>
      </c>
    </row>
    <row r="203" spans="74:74" x14ac:dyDescent="0.3">
      <c r="BV203" s="32">
        <f t="shared" ca="1" si="2"/>
        <v>121</v>
      </c>
    </row>
    <row r="204" spans="74:74" x14ac:dyDescent="0.3">
      <c r="BV204" s="32">
        <f t="shared" ca="1" si="2"/>
        <v>121</v>
      </c>
    </row>
    <row r="205" spans="74:74" x14ac:dyDescent="0.3">
      <c r="BV205" s="32">
        <f t="shared" ref="BV205:BV268" ca="1" si="3">INT((TODAY()-$I205)/365)</f>
        <v>121</v>
      </c>
    </row>
    <row r="206" spans="74:74" x14ac:dyDescent="0.3">
      <c r="BV206" s="32">
        <f t="shared" ca="1" si="3"/>
        <v>121</v>
      </c>
    </row>
    <row r="207" spans="74:74" x14ac:dyDescent="0.3">
      <c r="BV207" s="32">
        <f t="shared" ca="1" si="3"/>
        <v>121</v>
      </c>
    </row>
    <row r="208" spans="74:74" x14ac:dyDescent="0.3">
      <c r="BV208" s="32">
        <f t="shared" ca="1" si="3"/>
        <v>121</v>
      </c>
    </row>
    <row r="209" spans="74:74" x14ac:dyDescent="0.3">
      <c r="BV209" s="32">
        <f t="shared" ca="1" si="3"/>
        <v>121</v>
      </c>
    </row>
    <row r="210" spans="74:74" x14ac:dyDescent="0.3">
      <c r="BV210" s="32">
        <f t="shared" ca="1" si="3"/>
        <v>121</v>
      </c>
    </row>
    <row r="211" spans="74:74" x14ac:dyDescent="0.3">
      <c r="BV211" s="32">
        <f t="shared" ca="1" si="3"/>
        <v>121</v>
      </c>
    </row>
    <row r="212" spans="74:74" x14ac:dyDescent="0.3">
      <c r="BV212" s="32">
        <f t="shared" ca="1" si="3"/>
        <v>121</v>
      </c>
    </row>
    <row r="213" spans="74:74" x14ac:dyDescent="0.3">
      <c r="BV213" s="32">
        <f t="shared" ca="1" si="3"/>
        <v>121</v>
      </c>
    </row>
    <row r="214" spans="74:74" x14ac:dyDescent="0.3">
      <c r="BV214" s="32">
        <f t="shared" ca="1" si="3"/>
        <v>121</v>
      </c>
    </row>
    <row r="215" spans="74:74" x14ac:dyDescent="0.3">
      <c r="BV215" s="32">
        <f t="shared" ca="1" si="3"/>
        <v>121</v>
      </c>
    </row>
    <row r="216" spans="74:74" x14ac:dyDescent="0.3">
      <c r="BV216" s="32">
        <f t="shared" ca="1" si="3"/>
        <v>121</v>
      </c>
    </row>
    <row r="217" spans="74:74" x14ac:dyDescent="0.3">
      <c r="BV217" s="32">
        <f t="shared" ca="1" si="3"/>
        <v>121</v>
      </c>
    </row>
    <row r="218" spans="74:74" x14ac:dyDescent="0.3">
      <c r="BV218" s="32">
        <f t="shared" ca="1" si="3"/>
        <v>121</v>
      </c>
    </row>
    <row r="219" spans="74:74" x14ac:dyDescent="0.3">
      <c r="BV219" s="32">
        <f t="shared" ca="1" si="3"/>
        <v>121</v>
      </c>
    </row>
    <row r="220" spans="74:74" x14ac:dyDescent="0.3">
      <c r="BV220" s="32">
        <f t="shared" ca="1" si="3"/>
        <v>121</v>
      </c>
    </row>
    <row r="221" spans="74:74" x14ac:dyDescent="0.3">
      <c r="BV221" s="32">
        <f t="shared" ca="1" si="3"/>
        <v>121</v>
      </c>
    </row>
    <row r="222" spans="74:74" x14ac:dyDescent="0.3">
      <c r="BV222" s="32">
        <f t="shared" ca="1" si="3"/>
        <v>121</v>
      </c>
    </row>
    <row r="223" spans="74:74" x14ac:dyDescent="0.3">
      <c r="BV223" s="32">
        <f t="shared" ca="1" si="3"/>
        <v>121</v>
      </c>
    </row>
    <row r="224" spans="74:74" x14ac:dyDescent="0.3">
      <c r="BV224" s="32">
        <f t="shared" ca="1" si="3"/>
        <v>121</v>
      </c>
    </row>
    <row r="225" spans="74:74" x14ac:dyDescent="0.3">
      <c r="BV225" s="32">
        <f t="shared" ca="1" si="3"/>
        <v>121</v>
      </c>
    </row>
    <row r="226" spans="74:74" x14ac:dyDescent="0.3">
      <c r="BV226" s="32">
        <f t="shared" ca="1" si="3"/>
        <v>121</v>
      </c>
    </row>
    <row r="227" spans="74:74" x14ac:dyDescent="0.3">
      <c r="BV227" s="32">
        <f t="shared" ca="1" si="3"/>
        <v>121</v>
      </c>
    </row>
    <row r="228" spans="74:74" x14ac:dyDescent="0.3">
      <c r="BV228" s="32">
        <f t="shared" ca="1" si="3"/>
        <v>121</v>
      </c>
    </row>
    <row r="229" spans="74:74" x14ac:dyDescent="0.3">
      <c r="BV229" s="32">
        <f t="shared" ca="1" si="3"/>
        <v>121</v>
      </c>
    </row>
    <row r="230" spans="74:74" x14ac:dyDescent="0.3">
      <c r="BV230" s="32">
        <f t="shared" ca="1" si="3"/>
        <v>121</v>
      </c>
    </row>
    <row r="231" spans="74:74" x14ac:dyDescent="0.3">
      <c r="BV231" s="32">
        <f t="shared" ca="1" si="3"/>
        <v>121</v>
      </c>
    </row>
    <row r="232" spans="74:74" x14ac:dyDescent="0.3">
      <c r="BV232" s="32">
        <f t="shared" ca="1" si="3"/>
        <v>121</v>
      </c>
    </row>
    <row r="233" spans="74:74" x14ac:dyDescent="0.3">
      <c r="BV233" s="32">
        <f t="shared" ca="1" si="3"/>
        <v>121</v>
      </c>
    </row>
    <row r="234" spans="74:74" x14ac:dyDescent="0.3">
      <c r="BV234" s="32">
        <f t="shared" ca="1" si="3"/>
        <v>121</v>
      </c>
    </row>
    <row r="235" spans="74:74" x14ac:dyDescent="0.3">
      <c r="BV235" s="32">
        <f t="shared" ca="1" si="3"/>
        <v>121</v>
      </c>
    </row>
    <row r="236" spans="74:74" x14ac:dyDescent="0.3">
      <c r="BV236" s="32">
        <f t="shared" ca="1" si="3"/>
        <v>121</v>
      </c>
    </row>
    <row r="237" spans="74:74" x14ac:dyDescent="0.3">
      <c r="BV237" s="32">
        <f t="shared" ca="1" si="3"/>
        <v>121</v>
      </c>
    </row>
    <row r="238" spans="74:74" x14ac:dyDescent="0.3">
      <c r="BV238" s="32">
        <f t="shared" ca="1" si="3"/>
        <v>121</v>
      </c>
    </row>
    <row r="239" spans="74:74" x14ac:dyDescent="0.3">
      <c r="BV239" s="32">
        <f t="shared" ca="1" si="3"/>
        <v>121</v>
      </c>
    </row>
    <row r="240" spans="74:74" x14ac:dyDescent="0.3">
      <c r="BV240" s="32">
        <f t="shared" ca="1" si="3"/>
        <v>121</v>
      </c>
    </row>
    <row r="241" spans="74:74" x14ac:dyDescent="0.3">
      <c r="BV241" s="32">
        <f t="shared" ca="1" si="3"/>
        <v>121</v>
      </c>
    </row>
    <row r="242" spans="74:74" x14ac:dyDescent="0.3">
      <c r="BV242" s="32">
        <f t="shared" ca="1" si="3"/>
        <v>121</v>
      </c>
    </row>
    <row r="243" spans="74:74" x14ac:dyDescent="0.3">
      <c r="BV243" s="32">
        <f t="shared" ca="1" si="3"/>
        <v>121</v>
      </c>
    </row>
    <row r="244" spans="74:74" x14ac:dyDescent="0.3">
      <c r="BV244" s="32">
        <f t="shared" ca="1" si="3"/>
        <v>121</v>
      </c>
    </row>
    <row r="245" spans="74:74" x14ac:dyDescent="0.3">
      <c r="BV245" s="32">
        <f t="shared" ca="1" si="3"/>
        <v>121</v>
      </c>
    </row>
    <row r="246" spans="74:74" x14ac:dyDescent="0.3">
      <c r="BV246" s="32">
        <f t="shared" ca="1" si="3"/>
        <v>121</v>
      </c>
    </row>
    <row r="247" spans="74:74" x14ac:dyDescent="0.3">
      <c r="BV247" s="32">
        <f t="shared" ca="1" si="3"/>
        <v>121</v>
      </c>
    </row>
    <row r="248" spans="74:74" x14ac:dyDescent="0.3">
      <c r="BV248" s="32">
        <f t="shared" ca="1" si="3"/>
        <v>121</v>
      </c>
    </row>
    <row r="249" spans="74:74" x14ac:dyDescent="0.3">
      <c r="BV249" s="32">
        <f t="shared" ca="1" si="3"/>
        <v>121</v>
      </c>
    </row>
    <row r="250" spans="74:74" x14ac:dyDescent="0.3">
      <c r="BV250" s="32">
        <f t="shared" ca="1" si="3"/>
        <v>121</v>
      </c>
    </row>
    <row r="251" spans="74:74" x14ac:dyDescent="0.3">
      <c r="BV251" s="32">
        <f t="shared" ca="1" si="3"/>
        <v>121</v>
      </c>
    </row>
    <row r="252" spans="74:74" x14ac:dyDescent="0.3">
      <c r="BV252" s="32">
        <f t="shared" ca="1" si="3"/>
        <v>121</v>
      </c>
    </row>
    <row r="253" spans="74:74" x14ac:dyDescent="0.3">
      <c r="BV253" s="32">
        <f t="shared" ca="1" si="3"/>
        <v>121</v>
      </c>
    </row>
    <row r="254" spans="74:74" x14ac:dyDescent="0.3">
      <c r="BV254" s="32">
        <f t="shared" ca="1" si="3"/>
        <v>121</v>
      </c>
    </row>
    <row r="255" spans="74:74" x14ac:dyDescent="0.3">
      <c r="BV255" s="32">
        <f t="shared" ca="1" si="3"/>
        <v>121</v>
      </c>
    </row>
    <row r="256" spans="74:74" x14ac:dyDescent="0.3">
      <c r="BV256" s="32">
        <f t="shared" ca="1" si="3"/>
        <v>121</v>
      </c>
    </row>
    <row r="257" spans="74:74" x14ac:dyDescent="0.3">
      <c r="BV257" s="32">
        <f t="shared" ca="1" si="3"/>
        <v>121</v>
      </c>
    </row>
    <row r="258" spans="74:74" x14ac:dyDescent="0.3">
      <c r="BV258" s="32">
        <f t="shared" ca="1" si="3"/>
        <v>121</v>
      </c>
    </row>
    <row r="259" spans="74:74" x14ac:dyDescent="0.3">
      <c r="BV259" s="32">
        <f t="shared" ca="1" si="3"/>
        <v>121</v>
      </c>
    </row>
    <row r="260" spans="74:74" x14ac:dyDescent="0.3">
      <c r="BV260" s="32">
        <f t="shared" ca="1" si="3"/>
        <v>121</v>
      </c>
    </row>
    <row r="261" spans="74:74" x14ac:dyDescent="0.3">
      <c r="BV261" s="32">
        <f t="shared" ca="1" si="3"/>
        <v>121</v>
      </c>
    </row>
    <row r="262" spans="74:74" x14ac:dyDescent="0.3">
      <c r="BV262" s="32">
        <f t="shared" ca="1" si="3"/>
        <v>121</v>
      </c>
    </row>
    <row r="263" spans="74:74" x14ac:dyDescent="0.3">
      <c r="BV263" s="32">
        <f t="shared" ca="1" si="3"/>
        <v>121</v>
      </c>
    </row>
    <row r="264" spans="74:74" x14ac:dyDescent="0.3">
      <c r="BV264" s="32">
        <f t="shared" ca="1" si="3"/>
        <v>121</v>
      </c>
    </row>
    <row r="265" spans="74:74" x14ac:dyDescent="0.3">
      <c r="BV265" s="32">
        <f t="shared" ca="1" si="3"/>
        <v>121</v>
      </c>
    </row>
    <row r="266" spans="74:74" x14ac:dyDescent="0.3">
      <c r="BV266" s="32">
        <f t="shared" ca="1" si="3"/>
        <v>121</v>
      </c>
    </row>
    <row r="267" spans="74:74" x14ac:dyDescent="0.3">
      <c r="BV267" s="32">
        <f t="shared" ca="1" si="3"/>
        <v>121</v>
      </c>
    </row>
    <row r="268" spans="74:74" x14ac:dyDescent="0.3">
      <c r="BV268" s="32">
        <f t="shared" ca="1" si="3"/>
        <v>121</v>
      </c>
    </row>
    <row r="269" spans="74:74" x14ac:dyDescent="0.3">
      <c r="BV269" s="32">
        <f t="shared" ref="BV269:BV332" ca="1" si="4">INT((TODAY()-$I269)/365)</f>
        <v>121</v>
      </c>
    </row>
    <row r="270" spans="74:74" x14ac:dyDescent="0.3">
      <c r="BV270" s="32">
        <f t="shared" ca="1" si="4"/>
        <v>121</v>
      </c>
    </row>
    <row r="271" spans="74:74" x14ac:dyDescent="0.3">
      <c r="BV271" s="32">
        <f t="shared" ca="1" si="4"/>
        <v>121</v>
      </c>
    </row>
    <row r="272" spans="74:74" x14ac:dyDescent="0.3">
      <c r="BV272" s="32">
        <f t="shared" ca="1" si="4"/>
        <v>121</v>
      </c>
    </row>
    <row r="273" spans="74:74" x14ac:dyDescent="0.3">
      <c r="BV273" s="32">
        <f t="shared" ca="1" si="4"/>
        <v>121</v>
      </c>
    </row>
    <row r="274" spans="74:74" x14ac:dyDescent="0.3">
      <c r="BV274" s="32">
        <f t="shared" ca="1" si="4"/>
        <v>121</v>
      </c>
    </row>
    <row r="275" spans="74:74" x14ac:dyDescent="0.3">
      <c r="BV275" s="32">
        <f t="shared" ca="1" si="4"/>
        <v>121</v>
      </c>
    </row>
    <row r="276" spans="74:74" x14ac:dyDescent="0.3">
      <c r="BV276" s="32">
        <f t="shared" ca="1" si="4"/>
        <v>121</v>
      </c>
    </row>
    <row r="277" spans="74:74" x14ac:dyDescent="0.3">
      <c r="BV277" s="32">
        <f t="shared" ca="1" si="4"/>
        <v>121</v>
      </c>
    </row>
    <row r="278" spans="74:74" x14ac:dyDescent="0.3">
      <c r="BV278" s="32">
        <f t="shared" ca="1" si="4"/>
        <v>121</v>
      </c>
    </row>
    <row r="279" spans="74:74" x14ac:dyDescent="0.3">
      <c r="BV279" s="32">
        <f t="shared" ca="1" si="4"/>
        <v>121</v>
      </c>
    </row>
    <row r="280" spans="74:74" x14ac:dyDescent="0.3">
      <c r="BV280" s="32">
        <f t="shared" ca="1" si="4"/>
        <v>121</v>
      </c>
    </row>
    <row r="281" spans="74:74" x14ac:dyDescent="0.3">
      <c r="BV281" s="32">
        <f t="shared" ca="1" si="4"/>
        <v>121</v>
      </c>
    </row>
    <row r="282" spans="74:74" x14ac:dyDescent="0.3">
      <c r="BV282" s="32">
        <f t="shared" ca="1" si="4"/>
        <v>121</v>
      </c>
    </row>
    <row r="283" spans="74:74" x14ac:dyDescent="0.3">
      <c r="BV283" s="32">
        <f t="shared" ca="1" si="4"/>
        <v>121</v>
      </c>
    </row>
    <row r="284" spans="74:74" x14ac:dyDescent="0.3">
      <c r="BV284" s="32">
        <f t="shared" ca="1" si="4"/>
        <v>121</v>
      </c>
    </row>
    <row r="285" spans="74:74" x14ac:dyDescent="0.3">
      <c r="BV285" s="32">
        <f t="shared" ca="1" si="4"/>
        <v>121</v>
      </c>
    </row>
    <row r="286" spans="74:74" x14ac:dyDescent="0.3">
      <c r="BV286" s="32">
        <f t="shared" ca="1" si="4"/>
        <v>121</v>
      </c>
    </row>
    <row r="287" spans="74:74" x14ac:dyDescent="0.3">
      <c r="BV287" s="32">
        <f t="shared" ca="1" si="4"/>
        <v>121</v>
      </c>
    </row>
    <row r="288" spans="74:74" x14ac:dyDescent="0.3">
      <c r="BV288" s="32">
        <f t="shared" ca="1" si="4"/>
        <v>121</v>
      </c>
    </row>
    <row r="289" spans="74:74" x14ac:dyDescent="0.3">
      <c r="BV289" s="32">
        <f t="shared" ca="1" si="4"/>
        <v>121</v>
      </c>
    </row>
    <row r="290" spans="74:74" x14ac:dyDescent="0.3">
      <c r="BV290" s="32">
        <f t="shared" ca="1" si="4"/>
        <v>121</v>
      </c>
    </row>
    <row r="291" spans="74:74" x14ac:dyDescent="0.3">
      <c r="BV291" s="32">
        <f t="shared" ca="1" si="4"/>
        <v>121</v>
      </c>
    </row>
    <row r="292" spans="74:74" x14ac:dyDescent="0.3">
      <c r="BV292" s="32">
        <f t="shared" ca="1" si="4"/>
        <v>121</v>
      </c>
    </row>
    <row r="293" spans="74:74" x14ac:dyDescent="0.3">
      <c r="BV293" s="32">
        <f t="shared" ca="1" si="4"/>
        <v>121</v>
      </c>
    </row>
    <row r="294" spans="74:74" x14ac:dyDescent="0.3">
      <c r="BV294" s="32">
        <f t="shared" ca="1" si="4"/>
        <v>121</v>
      </c>
    </row>
    <row r="295" spans="74:74" x14ac:dyDescent="0.3">
      <c r="BV295" s="32">
        <f t="shared" ca="1" si="4"/>
        <v>121</v>
      </c>
    </row>
    <row r="296" spans="74:74" x14ac:dyDescent="0.3">
      <c r="BV296" s="32">
        <f t="shared" ca="1" si="4"/>
        <v>121</v>
      </c>
    </row>
    <row r="297" spans="74:74" x14ac:dyDescent="0.3">
      <c r="BV297" s="32">
        <f t="shared" ca="1" si="4"/>
        <v>121</v>
      </c>
    </row>
    <row r="298" spans="74:74" x14ac:dyDescent="0.3">
      <c r="BV298" s="32">
        <f t="shared" ca="1" si="4"/>
        <v>121</v>
      </c>
    </row>
    <row r="299" spans="74:74" x14ac:dyDescent="0.3">
      <c r="BV299" s="32">
        <f t="shared" ca="1" si="4"/>
        <v>121</v>
      </c>
    </row>
    <row r="300" spans="74:74" x14ac:dyDescent="0.3">
      <c r="BV300" s="32">
        <f t="shared" ca="1" si="4"/>
        <v>121</v>
      </c>
    </row>
    <row r="301" spans="74:74" x14ac:dyDescent="0.3">
      <c r="BV301" s="32">
        <f t="shared" ca="1" si="4"/>
        <v>121</v>
      </c>
    </row>
    <row r="302" spans="74:74" x14ac:dyDescent="0.3">
      <c r="BV302" s="32">
        <f t="shared" ca="1" si="4"/>
        <v>121</v>
      </c>
    </row>
    <row r="303" spans="74:74" x14ac:dyDescent="0.3">
      <c r="BV303" s="32">
        <f t="shared" ca="1" si="4"/>
        <v>121</v>
      </c>
    </row>
    <row r="304" spans="74:74" x14ac:dyDescent="0.3">
      <c r="BV304" s="32">
        <f t="shared" ca="1" si="4"/>
        <v>121</v>
      </c>
    </row>
    <row r="305" spans="74:74" x14ac:dyDescent="0.3">
      <c r="BV305" s="32">
        <f t="shared" ca="1" si="4"/>
        <v>121</v>
      </c>
    </row>
    <row r="306" spans="74:74" x14ac:dyDescent="0.3">
      <c r="BV306" s="32">
        <f t="shared" ca="1" si="4"/>
        <v>121</v>
      </c>
    </row>
    <row r="307" spans="74:74" x14ac:dyDescent="0.3">
      <c r="BV307" s="32">
        <f t="shared" ca="1" si="4"/>
        <v>121</v>
      </c>
    </row>
    <row r="308" spans="74:74" x14ac:dyDescent="0.3">
      <c r="BV308" s="32">
        <f t="shared" ca="1" si="4"/>
        <v>121</v>
      </c>
    </row>
    <row r="309" spans="74:74" x14ac:dyDescent="0.3">
      <c r="BV309" s="32">
        <f t="shared" ca="1" si="4"/>
        <v>121</v>
      </c>
    </row>
    <row r="310" spans="74:74" x14ac:dyDescent="0.3">
      <c r="BV310" s="32">
        <f t="shared" ca="1" si="4"/>
        <v>121</v>
      </c>
    </row>
    <row r="311" spans="74:74" x14ac:dyDescent="0.3">
      <c r="BV311" s="32">
        <f t="shared" ca="1" si="4"/>
        <v>121</v>
      </c>
    </row>
    <row r="312" spans="74:74" x14ac:dyDescent="0.3">
      <c r="BV312" s="32">
        <f t="shared" ca="1" si="4"/>
        <v>121</v>
      </c>
    </row>
    <row r="313" spans="74:74" x14ac:dyDescent="0.3">
      <c r="BV313" s="32">
        <f t="shared" ca="1" si="4"/>
        <v>121</v>
      </c>
    </row>
    <row r="314" spans="74:74" x14ac:dyDescent="0.3">
      <c r="BV314" s="32">
        <f t="shared" ca="1" si="4"/>
        <v>121</v>
      </c>
    </row>
    <row r="315" spans="74:74" x14ac:dyDescent="0.3">
      <c r="BV315" s="32">
        <f t="shared" ca="1" si="4"/>
        <v>121</v>
      </c>
    </row>
    <row r="316" spans="74:74" x14ac:dyDescent="0.3">
      <c r="BV316" s="32">
        <f t="shared" ca="1" si="4"/>
        <v>121</v>
      </c>
    </row>
    <row r="317" spans="74:74" x14ac:dyDescent="0.3">
      <c r="BV317" s="32">
        <f t="shared" ca="1" si="4"/>
        <v>121</v>
      </c>
    </row>
    <row r="318" spans="74:74" x14ac:dyDescent="0.3">
      <c r="BV318" s="32">
        <f t="shared" ca="1" si="4"/>
        <v>121</v>
      </c>
    </row>
    <row r="319" spans="74:74" x14ac:dyDescent="0.3">
      <c r="BV319" s="32">
        <f t="shared" ca="1" si="4"/>
        <v>121</v>
      </c>
    </row>
    <row r="320" spans="74:74" x14ac:dyDescent="0.3">
      <c r="BV320" s="32">
        <f t="shared" ca="1" si="4"/>
        <v>121</v>
      </c>
    </row>
    <row r="321" spans="74:74" x14ac:dyDescent="0.3">
      <c r="BV321" s="32">
        <f t="shared" ca="1" si="4"/>
        <v>121</v>
      </c>
    </row>
    <row r="322" spans="74:74" x14ac:dyDescent="0.3">
      <c r="BV322" s="32">
        <f t="shared" ca="1" si="4"/>
        <v>121</v>
      </c>
    </row>
    <row r="323" spans="74:74" x14ac:dyDescent="0.3">
      <c r="BV323" s="32">
        <f t="shared" ca="1" si="4"/>
        <v>121</v>
      </c>
    </row>
    <row r="324" spans="74:74" x14ac:dyDescent="0.3">
      <c r="BV324" s="32">
        <f t="shared" ca="1" si="4"/>
        <v>121</v>
      </c>
    </row>
    <row r="325" spans="74:74" x14ac:dyDescent="0.3">
      <c r="BV325" s="32">
        <f t="shared" ca="1" si="4"/>
        <v>121</v>
      </c>
    </row>
    <row r="326" spans="74:74" x14ac:dyDescent="0.3">
      <c r="BV326" s="32">
        <f t="shared" ca="1" si="4"/>
        <v>121</v>
      </c>
    </row>
    <row r="327" spans="74:74" x14ac:dyDescent="0.3">
      <c r="BV327" s="32">
        <f t="shared" ca="1" si="4"/>
        <v>121</v>
      </c>
    </row>
    <row r="328" spans="74:74" x14ac:dyDescent="0.3">
      <c r="BV328" s="32">
        <f t="shared" ca="1" si="4"/>
        <v>121</v>
      </c>
    </row>
    <row r="329" spans="74:74" x14ac:dyDescent="0.3">
      <c r="BV329" s="32">
        <f t="shared" ca="1" si="4"/>
        <v>121</v>
      </c>
    </row>
    <row r="330" spans="74:74" x14ac:dyDescent="0.3">
      <c r="BV330" s="32">
        <f t="shared" ca="1" si="4"/>
        <v>121</v>
      </c>
    </row>
    <row r="331" spans="74:74" x14ac:dyDescent="0.3">
      <c r="BV331" s="32">
        <f t="shared" ca="1" si="4"/>
        <v>121</v>
      </c>
    </row>
    <row r="332" spans="74:74" x14ac:dyDescent="0.3">
      <c r="BV332" s="32">
        <f t="shared" ca="1" si="4"/>
        <v>121</v>
      </c>
    </row>
    <row r="333" spans="74:74" x14ac:dyDescent="0.3">
      <c r="BV333" s="32">
        <f t="shared" ref="BV333:BV396" ca="1" si="5">INT((TODAY()-$I333)/365)</f>
        <v>121</v>
      </c>
    </row>
    <row r="334" spans="74:74" x14ac:dyDescent="0.3">
      <c r="BV334" s="32">
        <f t="shared" ca="1" si="5"/>
        <v>121</v>
      </c>
    </row>
    <row r="335" spans="74:74" x14ac:dyDescent="0.3">
      <c r="BV335" s="32">
        <f t="shared" ca="1" si="5"/>
        <v>121</v>
      </c>
    </row>
    <row r="336" spans="74:74" x14ac:dyDescent="0.3">
      <c r="BV336" s="32">
        <f t="shared" ca="1" si="5"/>
        <v>121</v>
      </c>
    </row>
    <row r="337" spans="74:74" x14ac:dyDescent="0.3">
      <c r="BV337" s="32">
        <f t="shared" ca="1" si="5"/>
        <v>121</v>
      </c>
    </row>
    <row r="338" spans="74:74" x14ac:dyDescent="0.3">
      <c r="BV338" s="32">
        <f t="shared" ca="1" si="5"/>
        <v>121</v>
      </c>
    </row>
    <row r="339" spans="74:74" x14ac:dyDescent="0.3">
      <c r="BV339" s="32">
        <f t="shared" ca="1" si="5"/>
        <v>121</v>
      </c>
    </row>
    <row r="340" spans="74:74" x14ac:dyDescent="0.3">
      <c r="BV340" s="32">
        <f t="shared" ca="1" si="5"/>
        <v>121</v>
      </c>
    </row>
    <row r="341" spans="74:74" x14ac:dyDescent="0.3">
      <c r="BV341" s="32">
        <f t="shared" ca="1" si="5"/>
        <v>121</v>
      </c>
    </row>
    <row r="342" spans="74:74" x14ac:dyDescent="0.3">
      <c r="BV342" s="32">
        <f t="shared" ca="1" si="5"/>
        <v>121</v>
      </c>
    </row>
    <row r="343" spans="74:74" x14ac:dyDescent="0.3">
      <c r="BV343" s="32">
        <f t="shared" ca="1" si="5"/>
        <v>121</v>
      </c>
    </row>
    <row r="344" spans="74:74" x14ac:dyDescent="0.3">
      <c r="BV344" s="32">
        <f t="shared" ca="1" si="5"/>
        <v>121</v>
      </c>
    </row>
    <row r="345" spans="74:74" x14ac:dyDescent="0.3">
      <c r="BV345" s="32">
        <f t="shared" ca="1" si="5"/>
        <v>121</v>
      </c>
    </row>
    <row r="346" spans="74:74" x14ac:dyDescent="0.3">
      <c r="BV346" s="32">
        <f t="shared" ca="1" si="5"/>
        <v>121</v>
      </c>
    </row>
    <row r="347" spans="74:74" x14ac:dyDescent="0.3">
      <c r="BV347" s="32">
        <f t="shared" ca="1" si="5"/>
        <v>121</v>
      </c>
    </row>
    <row r="348" spans="74:74" x14ac:dyDescent="0.3">
      <c r="BV348" s="32">
        <f t="shared" ca="1" si="5"/>
        <v>121</v>
      </c>
    </row>
    <row r="349" spans="74:74" x14ac:dyDescent="0.3">
      <c r="BV349" s="32">
        <f t="shared" ca="1" si="5"/>
        <v>121</v>
      </c>
    </row>
    <row r="350" spans="74:74" x14ac:dyDescent="0.3">
      <c r="BV350" s="32">
        <f t="shared" ca="1" si="5"/>
        <v>121</v>
      </c>
    </row>
    <row r="351" spans="74:74" x14ac:dyDescent="0.3">
      <c r="BV351" s="32">
        <f t="shared" ca="1" si="5"/>
        <v>121</v>
      </c>
    </row>
    <row r="352" spans="74:74" x14ac:dyDescent="0.3">
      <c r="BV352" s="32">
        <f t="shared" ca="1" si="5"/>
        <v>121</v>
      </c>
    </row>
    <row r="353" spans="74:74" x14ac:dyDescent="0.3">
      <c r="BV353" s="32">
        <f t="shared" ca="1" si="5"/>
        <v>121</v>
      </c>
    </row>
    <row r="354" spans="74:74" x14ac:dyDescent="0.3">
      <c r="BV354" s="32">
        <f t="shared" ca="1" si="5"/>
        <v>121</v>
      </c>
    </row>
    <row r="355" spans="74:74" x14ac:dyDescent="0.3">
      <c r="BV355" s="32">
        <f t="shared" ca="1" si="5"/>
        <v>121</v>
      </c>
    </row>
    <row r="356" spans="74:74" x14ac:dyDescent="0.3">
      <c r="BV356" s="32">
        <f t="shared" ca="1" si="5"/>
        <v>121</v>
      </c>
    </row>
    <row r="357" spans="74:74" x14ac:dyDescent="0.3">
      <c r="BV357" s="32">
        <f t="shared" ca="1" si="5"/>
        <v>121</v>
      </c>
    </row>
    <row r="358" spans="74:74" x14ac:dyDescent="0.3">
      <c r="BV358" s="32">
        <f t="shared" ca="1" si="5"/>
        <v>121</v>
      </c>
    </row>
    <row r="359" spans="74:74" x14ac:dyDescent="0.3">
      <c r="BV359" s="32">
        <f t="shared" ca="1" si="5"/>
        <v>121</v>
      </c>
    </row>
    <row r="360" spans="74:74" x14ac:dyDescent="0.3">
      <c r="BV360" s="32">
        <f t="shared" ca="1" si="5"/>
        <v>121</v>
      </c>
    </row>
    <row r="361" spans="74:74" x14ac:dyDescent="0.3">
      <c r="BV361" s="32">
        <f t="shared" ca="1" si="5"/>
        <v>121</v>
      </c>
    </row>
    <row r="362" spans="74:74" x14ac:dyDescent="0.3">
      <c r="BV362" s="32">
        <f t="shared" ca="1" si="5"/>
        <v>121</v>
      </c>
    </row>
    <row r="363" spans="74:74" x14ac:dyDescent="0.3">
      <c r="BV363" s="32">
        <f t="shared" ca="1" si="5"/>
        <v>121</v>
      </c>
    </row>
    <row r="364" spans="74:74" x14ac:dyDescent="0.3">
      <c r="BV364" s="32">
        <f t="shared" ca="1" si="5"/>
        <v>121</v>
      </c>
    </row>
    <row r="365" spans="74:74" x14ac:dyDescent="0.3">
      <c r="BV365" s="32">
        <f t="shared" ca="1" si="5"/>
        <v>121</v>
      </c>
    </row>
    <row r="366" spans="74:74" x14ac:dyDescent="0.3">
      <c r="BV366" s="32">
        <f t="shared" ca="1" si="5"/>
        <v>121</v>
      </c>
    </row>
    <row r="367" spans="74:74" x14ac:dyDescent="0.3">
      <c r="BV367" s="32">
        <f t="shared" ca="1" si="5"/>
        <v>121</v>
      </c>
    </row>
    <row r="368" spans="74:74" x14ac:dyDescent="0.3">
      <c r="BV368" s="32">
        <f t="shared" ca="1" si="5"/>
        <v>121</v>
      </c>
    </row>
    <row r="369" spans="74:74" x14ac:dyDescent="0.3">
      <c r="BV369" s="32">
        <f t="shared" ca="1" si="5"/>
        <v>121</v>
      </c>
    </row>
    <row r="370" spans="74:74" x14ac:dyDescent="0.3">
      <c r="BV370" s="32">
        <f t="shared" ca="1" si="5"/>
        <v>121</v>
      </c>
    </row>
    <row r="371" spans="74:74" x14ac:dyDescent="0.3">
      <c r="BV371" s="32">
        <f t="shared" ca="1" si="5"/>
        <v>121</v>
      </c>
    </row>
    <row r="372" spans="74:74" x14ac:dyDescent="0.3">
      <c r="BV372" s="32">
        <f t="shared" ca="1" si="5"/>
        <v>121</v>
      </c>
    </row>
    <row r="373" spans="74:74" x14ac:dyDescent="0.3">
      <c r="BV373" s="32">
        <f t="shared" ca="1" si="5"/>
        <v>121</v>
      </c>
    </row>
    <row r="374" spans="74:74" x14ac:dyDescent="0.3">
      <c r="BV374" s="32">
        <f t="shared" ca="1" si="5"/>
        <v>121</v>
      </c>
    </row>
    <row r="375" spans="74:74" x14ac:dyDescent="0.3">
      <c r="BV375" s="32">
        <f t="shared" ca="1" si="5"/>
        <v>121</v>
      </c>
    </row>
    <row r="376" spans="74:74" x14ac:dyDescent="0.3">
      <c r="BV376" s="32">
        <f t="shared" ca="1" si="5"/>
        <v>121</v>
      </c>
    </row>
    <row r="377" spans="74:74" x14ac:dyDescent="0.3">
      <c r="BV377" s="32">
        <f t="shared" ca="1" si="5"/>
        <v>121</v>
      </c>
    </row>
    <row r="378" spans="74:74" x14ac:dyDescent="0.3">
      <c r="BV378" s="32">
        <f t="shared" ca="1" si="5"/>
        <v>121</v>
      </c>
    </row>
    <row r="379" spans="74:74" x14ac:dyDescent="0.3">
      <c r="BV379" s="32">
        <f t="shared" ca="1" si="5"/>
        <v>121</v>
      </c>
    </row>
    <row r="380" spans="74:74" x14ac:dyDescent="0.3">
      <c r="BV380" s="32">
        <f t="shared" ca="1" si="5"/>
        <v>121</v>
      </c>
    </row>
    <row r="381" spans="74:74" x14ac:dyDescent="0.3">
      <c r="BV381" s="32">
        <f t="shared" ca="1" si="5"/>
        <v>121</v>
      </c>
    </row>
    <row r="382" spans="74:74" x14ac:dyDescent="0.3">
      <c r="BV382" s="32">
        <f t="shared" ca="1" si="5"/>
        <v>121</v>
      </c>
    </row>
    <row r="383" spans="74:74" x14ac:dyDescent="0.3">
      <c r="BV383" s="32">
        <f t="shared" ca="1" si="5"/>
        <v>121</v>
      </c>
    </row>
    <row r="384" spans="74:74" x14ac:dyDescent="0.3">
      <c r="BV384" s="32">
        <f t="shared" ca="1" si="5"/>
        <v>121</v>
      </c>
    </row>
    <row r="385" spans="74:74" x14ac:dyDescent="0.3">
      <c r="BV385" s="32">
        <f t="shared" ca="1" si="5"/>
        <v>121</v>
      </c>
    </row>
    <row r="386" spans="74:74" x14ac:dyDescent="0.3">
      <c r="BV386" s="32">
        <f t="shared" ca="1" si="5"/>
        <v>121</v>
      </c>
    </row>
    <row r="387" spans="74:74" x14ac:dyDescent="0.3">
      <c r="BV387" s="32">
        <f t="shared" ca="1" si="5"/>
        <v>121</v>
      </c>
    </row>
    <row r="388" spans="74:74" x14ac:dyDescent="0.3">
      <c r="BV388" s="32">
        <f t="shared" ca="1" si="5"/>
        <v>121</v>
      </c>
    </row>
    <row r="389" spans="74:74" x14ac:dyDescent="0.3">
      <c r="BV389" s="32">
        <f t="shared" ca="1" si="5"/>
        <v>121</v>
      </c>
    </row>
    <row r="390" spans="74:74" x14ac:dyDescent="0.3">
      <c r="BV390" s="32">
        <f t="shared" ca="1" si="5"/>
        <v>121</v>
      </c>
    </row>
    <row r="391" spans="74:74" x14ac:dyDescent="0.3">
      <c r="BV391" s="32">
        <f t="shared" ca="1" si="5"/>
        <v>121</v>
      </c>
    </row>
    <row r="392" spans="74:74" x14ac:dyDescent="0.3">
      <c r="BV392" s="32">
        <f t="shared" ca="1" si="5"/>
        <v>121</v>
      </c>
    </row>
    <row r="393" spans="74:74" x14ac:dyDescent="0.3">
      <c r="BV393" s="32">
        <f t="shared" ca="1" si="5"/>
        <v>121</v>
      </c>
    </row>
    <row r="394" spans="74:74" x14ac:dyDescent="0.3">
      <c r="BV394" s="32">
        <f t="shared" ca="1" si="5"/>
        <v>121</v>
      </c>
    </row>
    <row r="395" spans="74:74" x14ac:dyDescent="0.3">
      <c r="BV395" s="32">
        <f t="shared" ca="1" si="5"/>
        <v>121</v>
      </c>
    </row>
    <row r="396" spans="74:74" x14ac:dyDescent="0.3">
      <c r="BV396" s="32">
        <f t="shared" ca="1" si="5"/>
        <v>121</v>
      </c>
    </row>
    <row r="397" spans="74:74" x14ac:dyDescent="0.3">
      <c r="BV397" s="32">
        <f t="shared" ref="BV397:BV460" ca="1" si="6">INT((TODAY()-$I397)/365)</f>
        <v>121</v>
      </c>
    </row>
    <row r="398" spans="74:74" x14ac:dyDescent="0.3">
      <c r="BV398" s="32">
        <f t="shared" ca="1" si="6"/>
        <v>121</v>
      </c>
    </row>
    <row r="399" spans="74:74" x14ac:dyDescent="0.3">
      <c r="BV399" s="32">
        <f t="shared" ca="1" si="6"/>
        <v>121</v>
      </c>
    </row>
    <row r="400" spans="74:74" x14ac:dyDescent="0.3">
      <c r="BV400" s="32">
        <f t="shared" ca="1" si="6"/>
        <v>121</v>
      </c>
    </row>
    <row r="401" spans="74:74" x14ac:dyDescent="0.3">
      <c r="BV401" s="32">
        <f t="shared" ca="1" si="6"/>
        <v>121</v>
      </c>
    </row>
    <row r="402" spans="74:74" x14ac:dyDescent="0.3">
      <c r="BV402" s="32">
        <f t="shared" ca="1" si="6"/>
        <v>121</v>
      </c>
    </row>
    <row r="403" spans="74:74" x14ac:dyDescent="0.3">
      <c r="BV403" s="32">
        <f t="shared" ca="1" si="6"/>
        <v>121</v>
      </c>
    </row>
    <row r="404" spans="74:74" x14ac:dyDescent="0.3">
      <c r="BV404" s="32">
        <f t="shared" ca="1" si="6"/>
        <v>121</v>
      </c>
    </row>
    <row r="405" spans="74:74" x14ac:dyDescent="0.3">
      <c r="BV405" s="32">
        <f t="shared" ca="1" si="6"/>
        <v>121</v>
      </c>
    </row>
    <row r="406" spans="74:74" x14ac:dyDescent="0.3">
      <c r="BV406" s="32">
        <f t="shared" ca="1" si="6"/>
        <v>121</v>
      </c>
    </row>
    <row r="407" spans="74:74" x14ac:dyDescent="0.3">
      <c r="BV407" s="32">
        <f t="shared" ca="1" si="6"/>
        <v>121</v>
      </c>
    </row>
    <row r="408" spans="74:74" x14ac:dyDescent="0.3">
      <c r="BV408" s="32">
        <f t="shared" ca="1" si="6"/>
        <v>121</v>
      </c>
    </row>
    <row r="409" spans="74:74" x14ac:dyDescent="0.3">
      <c r="BV409" s="32">
        <f t="shared" ca="1" si="6"/>
        <v>121</v>
      </c>
    </row>
    <row r="410" spans="74:74" x14ac:dyDescent="0.3">
      <c r="BV410" s="32">
        <f t="shared" ca="1" si="6"/>
        <v>121</v>
      </c>
    </row>
    <row r="411" spans="74:74" x14ac:dyDescent="0.3">
      <c r="BV411" s="32">
        <f t="shared" ca="1" si="6"/>
        <v>121</v>
      </c>
    </row>
    <row r="412" spans="74:74" x14ac:dyDescent="0.3">
      <c r="BV412" s="32">
        <f t="shared" ca="1" si="6"/>
        <v>121</v>
      </c>
    </row>
    <row r="413" spans="74:74" x14ac:dyDescent="0.3">
      <c r="BV413" s="32">
        <f t="shared" ca="1" si="6"/>
        <v>121</v>
      </c>
    </row>
    <row r="414" spans="74:74" x14ac:dyDescent="0.3">
      <c r="BV414" s="32">
        <f t="shared" ca="1" si="6"/>
        <v>121</v>
      </c>
    </row>
    <row r="415" spans="74:74" x14ac:dyDescent="0.3">
      <c r="BV415" s="32">
        <f t="shared" ca="1" si="6"/>
        <v>121</v>
      </c>
    </row>
    <row r="416" spans="74:74" x14ac:dyDescent="0.3">
      <c r="BV416" s="32">
        <f t="shared" ca="1" si="6"/>
        <v>121</v>
      </c>
    </row>
    <row r="417" spans="74:74" x14ac:dyDescent="0.3">
      <c r="BV417" s="32">
        <f t="shared" ca="1" si="6"/>
        <v>121</v>
      </c>
    </row>
    <row r="418" spans="74:74" x14ac:dyDescent="0.3">
      <c r="BV418" s="32">
        <f t="shared" ca="1" si="6"/>
        <v>121</v>
      </c>
    </row>
    <row r="419" spans="74:74" x14ac:dyDescent="0.3">
      <c r="BV419" s="32">
        <f t="shared" ca="1" si="6"/>
        <v>121</v>
      </c>
    </row>
    <row r="420" spans="74:74" x14ac:dyDescent="0.3">
      <c r="BV420" s="32">
        <f t="shared" ca="1" si="6"/>
        <v>121</v>
      </c>
    </row>
    <row r="421" spans="74:74" x14ac:dyDescent="0.3">
      <c r="BV421" s="32">
        <f t="shared" ca="1" si="6"/>
        <v>121</v>
      </c>
    </row>
    <row r="422" spans="74:74" x14ac:dyDescent="0.3">
      <c r="BV422" s="32">
        <f t="shared" ca="1" si="6"/>
        <v>121</v>
      </c>
    </row>
    <row r="423" spans="74:74" x14ac:dyDescent="0.3">
      <c r="BV423" s="32">
        <f t="shared" ca="1" si="6"/>
        <v>121</v>
      </c>
    </row>
    <row r="424" spans="74:74" x14ac:dyDescent="0.3">
      <c r="BV424" s="32">
        <f t="shared" ca="1" si="6"/>
        <v>121</v>
      </c>
    </row>
    <row r="425" spans="74:74" x14ac:dyDescent="0.3">
      <c r="BV425" s="32">
        <f t="shared" ca="1" si="6"/>
        <v>121</v>
      </c>
    </row>
    <row r="426" spans="74:74" x14ac:dyDescent="0.3">
      <c r="BV426" s="32">
        <f t="shared" ca="1" si="6"/>
        <v>121</v>
      </c>
    </row>
    <row r="427" spans="74:74" x14ac:dyDescent="0.3">
      <c r="BV427" s="32">
        <f t="shared" ca="1" si="6"/>
        <v>121</v>
      </c>
    </row>
    <row r="428" spans="74:74" x14ac:dyDescent="0.3">
      <c r="BV428" s="32">
        <f t="shared" ca="1" si="6"/>
        <v>121</v>
      </c>
    </row>
    <row r="429" spans="74:74" x14ac:dyDescent="0.3">
      <c r="BV429" s="32">
        <f t="shared" ca="1" si="6"/>
        <v>121</v>
      </c>
    </row>
    <row r="430" spans="74:74" x14ac:dyDescent="0.3">
      <c r="BV430" s="32">
        <f t="shared" ca="1" si="6"/>
        <v>121</v>
      </c>
    </row>
    <row r="431" spans="74:74" x14ac:dyDescent="0.3">
      <c r="BV431" s="32">
        <f t="shared" ca="1" si="6"/>
        <v>121</v>
      </c>
    </row>
    <row r="432" spans="74:74" x14ac:dyDescent="0.3">
      <c r="BV432" s="32">
        <f t="shared" ca="1" si="6"/>
        <v>121</v>
      </c>
    </row>
    <row r="433" spans="74:74" x14ac:dyDescent="0.3">
      <c r="BV433" s="32">
        <f t="shared" ca="1" si="6"/>
        <v>121</v>
      </c>
    </row>
    <row r="434" spans="74:74" x14ac:dyDescent="0.3">
      <c r="BV434" s="32">
        <f t="shared" ca="1" si="6"/>
        <v>121</v>
      </c>
    </row>
    <row r="435" spans="74:74" x14ac:dyDescent="0.3">
      <c r="BV435" s="32">
        <f t="shared" ca="1" si="6"/>
        <v>121</v>
      </c>
    </row>
    <row r="436" spans="74:74" x14ac:dyDescent="0.3">
      <c r="BV436" s="32">
        <f t="shared" ca="1" si="6"/>
        <v>121</v>
      </c>
    </row>
    <row r="437" spans="74:74" x14ac:dyDescent="0.3">
      <c r="BV437" s="32">
        <f t="shared" ca="1" si="6"/>
        <v>121</v>
      </c>
    </row>
    <row r="438" spans="74:74" x14ac:dyDescent="0.3">
      <c r="BV438" s="32">
        <f t="shared" ca="1" si="6"/>
        <v>121</v>
      </c>
    </row>
    <row r="439" spans="74:74" x14ac:dyDescent="0.3">
      <c r="BV439" s="32">
        <f t="shared" ca="1" si="6"/>
        <v>121</v>
      </c>
    </row>
    <row r="440" spans="74:74" x14ac:dyDescent="0.3">
      <c r="BV440" s="32">
        <f t="shared" ca="1" si="6"/>
        <v>121</v>
      </c>
    </row>
    <row r="441" spans="74:74" x14ac:dyDescent="0.3">
      <c r="BV441" s="32">
        <f t="shared" ca="1" si="6"/>
        <v>121</v>
      </c>
    </row>
    <row r="442" spans="74:74" x14ac:dyDescent="0.3">
      <c r="BV442" s="32">
        <f t="shared" ca="1" si="6"/>
        <v>121</v>
      </c>
    </row>
    <row r="443" spans="74:74" x14ac:dyDescent="0.3">
      <c r="BV443" s="32">
        <f t="shared" ca="1" si="6"/>
        <v>121</v>
      </c>
    </row>
    <row r="444" spans="74:74" x14ac:dyDescent="0.3">
      <c r="BV444" s="32">
        <f t="shared" ca="1" si="6"/>
        <v>121</v>
      </c>
    </row>
    <row r="445" spans="74:74" x14ac:dyDescent="0.3">
      <c r="BV445" s="32">
        <f t="shared" ca="1" si="6"/>
        <v>121</v>
      </c>
    </row>
    <row r="446" spans="74:74" x14ac:dyDescent="0.3">
      <c r="BV446" s="32">
        <f t="shared" ca="1" si="6"/>
        <v>121</v>
      </c>
    </row>
    <row r="447" spans="74:74" x14ac:dyDescent="0.3">
      <c r="BV447" s="32">
        <f t="shared" ca="1" si="6"/>
        <v>121</v>
      </c>
    </row>
    <row r="448" spans="74:74" x14ac:dyDescent="0.3">
      <c r="BV448" s="32">
        <f t="shared" ca="1" si="6"/>
        <v>121</v>
      </c>
    </row>
    <row r="449" spans="74:74" x14ac:dyDescent="0.3">
      <c r="BV449" s="32">
        <f t="shared" ca="1" si="6"/>
        <v>121</v>
      </c>
    </row>
    <row r="450" spans="74:74" x14ac:dyDescent="0.3">
      <c r="BV450" s="32">
        <f t="shared" ca="1" si="6"/>
        <v>121</v>
      </c>
    </row>
    <row r="451" spans="74:74" x14ac:dyDescent="0.3">
      <c r="BV451" s="32">
        <f t="shared" ca="1" si="6"/>
        <v>121</v>
      </c>
    </row>
    <row r="452" spans="74:74" x14ac:dyDescent="0.3">
      <c r="BV452" s="32">
        <f t="shared" ca="1" si="6"/>
        <v>121</v>
      </c>
    </row>
    <row r="453" spans="74:74" x14ac:dyDescent="0.3">
      <c r="BV453" s="32">
        <f t="shared" ca="1" si="6"/>
        <v>121</v>
      </c>
    </row>
    <row r="454" spans="74:74" x14ac:dyDescent="0.3">
      <c r="BV454" s="32">
        <f t="shared" ca="1" si="6"/>
        <v>121</v>
      </c>
    </row>
    <row r="455" spans="74:74" x14ac:dyDescent="0.3">
      <c r="BV455" s="32">
        <f t="shared" ca="1" si="6"/>
        <v>121</v>
      </c>
    </row>
    <row r="456" spans="74:74" x14ac:dyDescent="0.3">
      <c r="BV456" s="32">
        <f t="shared" ca="1" si="6"/>
        <v>121</v>
      </c>
    </row>
    <row r="457" spans="74:74" x14ac:dyDescent="0.3">
      <c r="BV457" s="32">
        <f t="shared" ca="1" si="6"/>
        <v>121</v>
      </c>
    </row>
    <row r="458" spans="74:74" x14ac:dyDescent="0.3">
      <c r="BV458" s="32">
        <f t="shared" ca="1" si="6"/>
        <v>121</v>
      </c>
    </row>
    <row r="459" spans="74:74" x14ac:dyDescent="0.3">
      <c r="BV459" s="32">
        <f t="shared" ca="1" si="6"/>
        <v>121</v>
      </c>
    </row>
    <row r="460" spans="74:74" x14ac:dyDescent="0.3">
      <c r="BV460" s="32">
        <f t="shared" ca="1" si="6"/>
        <v>121</v>
      </c>
    </row>
    <row r="461" spans="74:74" x14ac:dyDescent="0.3">
      <c r="BV461" s="32">
        <f t="shared" ref="BV461:BV524" ca="1" si="7">INT((TODAY()-$I461)/365)</f>
        <v>121</v>
      </c>
    </row>
    <row r="462" spans="74:74" x14ac:dyDescent="0.3">
      <c r="BV462" s="32">
        <f t="shared" ca="1" si="7"/>
        <v>121</v>
      </c>
    </row>
    <row r="463" spans="74:74" x14ac:dyDescent="0.3">
      <c r="BV463" s="32">
        <f t="shared" ca="1" si="7"/>
        <v>121</v>
      </c>
    </row>
    <row r="464" spans="74:74" x14ac:dyDescent="0.3">
      <c r="BV464" s="32">
        <f t="shared" ca="1" si="7"/>
        <v>121</v>
      </c>
    </row>
    <row r="465" spans="74:74" x14ac:dyDescent="0.3">
      <c r="BV465" s="32">
        <f t="shared" ca="1" si="7"/>
        <v>121</v>
      </c>
    </row>
    <row r="466" spans="74:74" x14ac:dyDescent="0.3">
      <c r="BV466" s="32">
        <f t="shared" ca="1" si="7"/>
        <v>121</v>
      </c>
    </row>
    <row r="467" spans="74:74" x14ac:dyDescent="0.3">
      <c r="BV467" s="32">
        <f t="shared" ca="1" si="7"/>
        <v>121</v>
      </c>
    </row>
    <row r="468" spans="74:74" x14ac:dyDescent="0.3">
      <c r="BV468" s="32">
        <f t="shared" ca="1" si="7"/>
        <v>121</v>
      </c>
    </row>
    <row r="469" spans="74:74" x14ac:dyDescent="0.3">
      <c r="BV469" s="32">
        <f t="shared" ca="1" si="7"/>
        <v>121</v>
      </c>
    </row>
    <row r="470" spans="74:74" x14ac:dyDescent="0.3">
      <c r="BV470" s="32">
        <f t="shared" ca="1" si="7"/>
        <v>121</v>
      </c>
    </row>
    <row r="471" spans="74:74" x14ac:dyDescent="0.3">
      <c r="BV471" s="32">
        <f t="shared" ca="1" si="7"/>
        <v>121</v>
      </c>
    </row>
    <row r="472" spans="74:74" x14ac:dyDescent="0.3">
      <c r="BV472" s="32">
        <f t="shared" ca="1" si="7"/>
        <v>121</v>
      </c>
    </row>
    <row r="473" spans="74:74" x14ac:dyDescent="0.3">
      <c r="BV473" s="32">
        <f t="shared" ca="1" si="7"/>
        <v>121</v>
      </c>
    </row>
    <row r="474" spans="74:74" x14ac:dyDescent="0.3">
      <c r="BV474" s="32">
        <f t="shared" ca="1" si="7"/>
        <v>121</v>
      </c>
    </row>
    <row r="475" spans="74:74" x14ac:dyDescent="0.3">
      <c r="BV475" s="32">
        <f t="shared" ca="1" si="7"/>
        <v>121</v>
      </c>
    </row>
    <row r="476" spans="74:74" x14ac:dyDescent="0.3">
      <c r="BV476" s="32">
        <f t="shared" ca="1" si="7"/>
        <v>121</v>
      </c>
    </row>
    <row r="477" spans="74:74" x14ac:dyDescent="0.3">
      <c r="BV477" s="32">
        <f t="shared" ca="1" si="7"/>
        <v>121</v>
      </c>
    </row>
    <row r="478" spans="74:74" x14ac:dyDescent="0.3">
      <c r="BV478" s="32">
        <f t="shared" ca="1" si="7"/>
        <v>121</v>
      </c>
    </row>
    <row r="479" spans="74:74" x14ac:dyDescent="0.3">
      <c r="BV479" s="32">
        <f t="shared" ca="1" si="7"/>
        <v>121</v>
      </c>
    </row>
    <row r="480" spans="74:74" x14ac:dyDescent="0.3">
      <c r="BV480" s="32">
        <f t="shared" ca="1" si="7"/>
        <v>121</v>
      </c>
    </row>
    <row r="481" spans="74:74" x14ac:dyDescent="0.3">
      <c r="BV481" s="32">
        <f t="shared" ca="1" si="7"/>
        <v>121</v>
      </c>
    </row>
    <row r="482" spans="74:74" x14ac:dyDescent="0.3">
      <c r="BV482" s="32">
        <f t="shared" ca="1" si="7"/>
        <v>121</v>
      </c>
    </row>
    <row r="483" spans="74:74" x14ac:dyDescent="0.3">
      <c r="BV483" s="32">
        <f t="shared" ca="1" si="7"/>
        <v>121</v>
      </c>
    </row>
    <row r="484" spans="74:74" x14ac:dyDescent="0.3">
      <c r="BV484" s="32">
        <f t="shared" ca="1" si="7"/>
        <v>121</v>
      </c>
    </row>
    <row r="485" spans="74:74" x14ac:dyDescent="0.3">
      <c r="BV485" s="32">
        <f t="shared" ca="1" si="7"/>
        <v>121</v>
      </c>
    </row>
    <row r="486" spans="74:74" x14ac:dyDescent="0.3">
      <c r="BV486" s="32">
        <f t="shared" ca="1" si="7"/>
        <v>121</v>
      </c>
    </row>
    <row r="487" spans="74:74" x14ac:dyDescent="0.3">
      <c r="BV487" s="32">
        <f t="shared" ca="1" si="7"/>
        <v>121</v>
      </c>
    </row>
    <row r="488" spans="74:74" x14ac:dyDescent="0.3">
      <c r="BV488" s="32">
        <f t="shared" ca="1" si="7"/>
        <v>121</v>
      </c>
    </row>
    <row r="489" spans="74:74" x14ac:dyDescent="0.3">
      <c r="BV489" s="32">
        <f t="shared" ca="1" si="7"/>
        <v>121</v>
      </c>
    </row>
    <row r="490" spans="74:74" x14ac:dyDescent="0.3">
      <c r="BV490" s="32">
        <f t="shared" ca="1" si="7"/>
        <v>121</v>
      </c>
    </row>
    <row r="491" spans="74:74" x14ac:dyDescent="0.3">
      <c r="BV491" s="32">
        <f t="shared" ca="1" si="7"/>
        <v>121</v>
      </c>
    </row>
    <row r="492" spans="74:74" x14ac:dyDescent="0.3">
      <c r="BV492" s="32">
        <f t="shared" ca="1" si="7"/>
        <v>121</v>
      </c>
    </row>
    <row r="493" spans="74:74" x14ac:dyDescent="0.3">
      <c r="BV493" s="32">
        <f t="shared" ca="1" si="7"/>
        <v>121</v>
      </c>
    </row>
    <row r="494" spans="74:74" x14ac:dyDescent="0.3">
      <c r="BV494" s="32">
        <f t="shared" ca="1" si="7"/>
        <v>121</v>
      </c>
    </row>
    <row r="495" spans="74:74" x14ac:dyDescent="0.3">
      <c r="BV495" s="32">
        <f t="shared" ca="1" si="7"/>
        <v>121</v>
      </c>
    </row>
    <row r="496" spans="74:74" x14ac:dyDescent="0.3">
      <c r="BV496" s="32">
        <f t="shared" ca="1" si="7"/>
        <v>121</v>
      </c>
    </row>
    <row r="497" spans="74:74" x14ac:dyDescent="0.3">
      <c r="BV497" s="32">
        <f t="shared" ca="1" si="7"/>
        <v>121</v>
      </c>
    </row>
    <row r="498" spans="74:74" x14ac:dyDescent="0.3">
      <c r="BV498" s="32">
        <f t="shared" ca="1" si="7"/>
        <v>121</v>
      </c>
    </row>
    <row r="499" spans="74:74" x14ac:dyDescent="0.3">
      <c r="BV499" s="32">
        <f t="shared" ca="1" si="7"/>
        <v>121</v>
      </c>
    </row>
    <row r="500" spans="74:74" x14ac:dyDescent="0.3">
      <c r="BV500" s="32">
        <f t="shared" ca="1" si="7"/>
        <v>121</v>
      </c>
    </row>
    <row r="501" spans="74:74" x14ac:dyDescent="0.3">
      <c r="BV501" s="32">
        <f t="shared" ca="1" si="7"/>
        <v>121</v>
      </c>
    </row>
    <row r="502" spans="74:74" x14ac:dyDescent="0.3">
      <c r="BV502" s="32">
        <f t="shared" ca="1" si="7"/>
        <v>121</v>
      </c>
    </row>
    <row r="503" spans="74:74" x14ac:dyDescent="0.3">
      <c r="BV503" s="32">
        <f t="shared" ca="1" si="7"/>
        <v>121</v>
      </c>
    </row>
    <row r="504" spans="74:74" x14ac:dyDescent="0.3">
      <c r="BV504" s="32">
        <f t="shared" ca="1" si="7"/>
        <v>121</v>
      </c>
    </row>
    <row r="505" spans="74:74" x14ac:dyDescent="0.3">
      <c r="BV505" s="32">
        <f t="shared" ca="1" si="7"/>
        <v>121</v>
      </c>
    </row>
    <row r="506" spans="74:74" x14ac:dyDescent="0.3">
      <c r="BV506" s="32">
        <f t="shared" ca="1" si="7"/>
        <v>121</v>
      </c>
    </row>
    <row r="507" spans="74:74" x14ac:dyDescent="0.3">
      <c r="BV507" s="32">
        <f t="shared" ca="1" si="7"/>
        <v>121</v>
      </c>
    </row>
    <row r="508" spans="74:74" x14ac:dyDescent="0.3">
      <c r="BV508" s="32">
        <f t="shared" ca="1" si="7"/>
        <v>121</v>
      </c>
    </row>
    <row r="509" spans="74:74" x14ac:dyDescent="0.3">
      <c r="BV509" s="32">
        <f t="shared" ca="1" si="7"/>
        <v>121</v>
      </c>
    </row>
    <row r="510" spans="74:74" x14ac:dyDescent="0.3">
      <c r="BV510" s="32">
        <f t="shared" ca="1" si="7"/>
        <v>121</v>
      </c>
    </row>
    <row r="511" spans="74:74" x14ac:dyDescent="0.3">
      <c r="BV511" s="32">
        <f t="shared" ca="1" si="7"/>
        <v>121</v>
      </c>
    </row>
    <row r="512" spans="74:74" x14ac:dyDescent="0.3">
      <c r="BV512" s="32">
        <f t="shared" ca="1" si="7"/>
        <v>121</v>
      </c>
    </row>
    <row r="513" spans="74:74" x14ac:dyDescent="0.3">
      <c r="BV513" s="32">
        <f t="shared" ca="1" si="7"/>
        <v>121</v>
      </c>
    </row>
    <row r="514" spans="74:74" x14ac:dyDescent="0.3">
      <c r="BV514" s="32">
        <f t="shared" ca="1" si="7"/>
        <v>121</v>
      </c>
    </row>
    <row r="515" spans="74:74" x14ac:dyDescent="0.3">
      <c r="BV515" s="32">
        <f t="shared" ca="1" si="7"/>
        <v>121</v>
      </c>
    </row>
    <row r="516" spans="74:74" x14ac:dyDescent="0.3">
      <c r="BV516" s="32">
        <f t="shared" ca="1" si="7"/>
        <v>121</v>
      </c>
    </row>
    <row r="517" spans="74:74" x14ac:dyDescent="0.3">
      <c r="BV517" s="32">
        <f t="shared" ca="1" si="7"/>
        <v>121</v>
      </c>
    </row>
    <row r="518" spans="74:74" x14ac:dyDescent="0.3">
      <c r="BV518" s="32">
        <f t="shared" ca="1" si="7"/>
        <v>121</v>
      </c>
    </row>
    <row r="519" spans="74:74" x14ac:dyDescent="0.3">
      <c r="BV519" s="32">
        <f t="shared" ca="1" si="7"/>
        <v>121</v>
      </c>
    </row>
    <row r="520" spans="74:74" x14ac:dyDescent="0.3">
      <c r="BV520" s="32">
        <f t="shared" ca="1" si="7"/>
        <v>121</v>
      </c>
    </row>
    <row r="521" spans="74:74" x14ac:dyDescent="0.3">
      <c r="BV521" s="32">
        <f t="shared" ca="1" si="7"/>
        <v>121</v>
      </c>
    </row>
    <row r="522" spans="74:74" x14ac:dyDescent="0.3">
      <c r="BV522" s="32">
        <f t="shared" ca="1" si="7"/>
        <v>121</v>
      </c>
    </row>
    <row r="523" spans="74:74" x14ac:dyDescent="0.3">
      <c r="BV523" s="32">
        <f t="shared" ca="1" si="7"/>
        <v>121</v>
      </c>
    </row>
    <row r="524" spans="74:74" x14ac:dyDescent="0.3">
      <c r="BV524" s="32">
        <f t="shared" ca="1" si="7"/>
        <v>121</v>
      </c>
    </row>
    <row r="525" spans="74:74" x14ac:dyDescent="0.3">
      <c r="BV525" s="32">
        <f t="shared" ref="BV525:BV588" ca="1" si="8">INT((TODAY()-$I525)/365)</f>
        <v>121</v>
      </c>
    </row>
    <row r="526" spans="74:74" x14ac:dyDescent="0.3">
      <c r="BV526" s="32">
        <f t="shared" ca="1" si="8"/>
        <v>121</v>
      </c>
    </row>
    <row r="527" spans="74:74" x14ac:dyDescent="0.3">
      <c r="BV527" s="32">
        <f t="shared" ca="1" si="8"/>
        <v>121</v>
      </c>
    </row>
    <row r="528" spans="74:74" x14ac:dyDescent="0.3">
      <c r="BV528" s="32">
        <f t="shared" ca="1" si="8"/>
        <v>121</v>
      </c>
    </row>
    <row r="529" spans="74:74" x14ac:dyDescent="0.3">
      <c r="BV529" s="32">
        <f t="shared" ca="1" si="8"/>
        <v>121</v>
      </c>
    </row>
    <row r="530" spans="74:74" x14ac:dyDescent="0.3">
      <c r="BV530" s="32">
        <f t="shared" ca="1" si="8"/>
        <v>121</v>
      </c>
    </row>
    <row r="531" spans="74:74" x14ac:dyDescent="0.3">
      <c r="BV531" s="32">
        <f t="shared" ca="1" si="8"/>
        <v>121</v>
      </c>
    </row>
    <row r="532" spans="74:74" x14ac:dyDescent="0.3">
      <c r="BV532" s="32">
        <f t="shared" ca="1" si="8"/>
        <v>121</v>
      </c>
    </row>
    <row r="533" spans="74:74" x14ac:dyDescent="0.3">
      <c r="BV533" s="32">
        <f t="shared" ca="1" si="8"/>
        <v>121</v>
      </c>
    </row>
    <row r="534" spans="74:74" x14ac:dyDescent="0.3">
      <c r="BV534" s="32">
        <f t="shared" ca="1" si="8"/>
        <v>121</v>
      </c>
    </row>
    <row r="535" spans="74:74" x14ac:dyDescent="0.3">
      <c r="BV535" s="32">
        <f t="shared" ca="1" si="8"/>
        <v>121</v>
      </c>
    </row>
    <row r="536" spans="74:74" x14ac:dyDescent="0.3">
      <c r="BV536" s="32">
        <f t="shared" ca="1" si="8"/>
        <v>121</v>
      </c>
    </row>
    <row r="537" spans="74:74" x14ac:dyDescent="0.3">
      <c r="BV537" s="32">
        <f t="shared" ca="1" si="8"/>
        <v>121</v>
      </c>
    </row>
    <row r="538" spans="74:74" x14ac:dyDescent="0.3">
      <c r="BV538" s="32">
        <f t="shared" ca="1" si="8"/>
        <v>121</v>
      </c>
    </row>
    <row r="539" spans="74:74" x14ac:dyDescent="0.3">
      <c r="BV539" s="32">
        <f t="shared" ca="1" si="8"/>
        <v>121</v>
      </c>
    </row>
    <row r="540" spans="74:74" x14ac:dyDescent="0.3">
      <c r="BV540" s="32">
        <f t="shared" ca="1" si="8"/>
        <v>121</v>
      </c>
    </row>
    <row r="541" spans="74:74" x14ac:dyDescent="0.3">
      <c r="BV541" s="32">
        <f t="shared" ca="1" si="8"/>
        <v>121</v>
      </c>
    </row>
    <row r="542" spans="74:74" x14ac:dyDescent="0.3">
      <c r="BV542" s="32">
        <f t="shared" ca="1" si="8"/>
        <v>121</v>
      </c>
    </row>
    <row r="543" spans="74:74" x14ac:dyDescent="0.3">
      <c r="BV543" s="32">
        <f t="shared" ca="1" si="8"/>
        <v>121</v>
      </c>
    </row>
    <row r="544" spans="74:74" x14ac:dyDescent="0.3">
      <c r="BV544" s="32">
        <f t="shared" ca="1" si="8"/>
        <v>121</v>
      </c>
    </row>
    <row r="545" spans="74:74" x14ac:dyDescent="0.3">
      <c r="BV545" s="32">
        <f t="shared" ca="1" si="8"/>
        <v>121</v>
      </c>
    </row>
    <row r="546" spans="74:74" x14ac:dyDescent="0.3">
      <c r="BV546" s="32">
        <f t="shared" ca="1" si="8"/>
        <v>121</v>
      </c>
    </row>
    <row r="547" spans="74:74" x14ac:dyDescent="0.3">
      <c r="BV547" s="32">
        <f t="shared" ca="1" si="8"/>
        <v>121</v>
      </c>
    </row>
    <row r="548" spans="74:74" x14ac:dyDescent="0.3">
      <c r="BV548" s="32">
        <f t="shared" ca="1" si="8"/>
        <v>121</v>
      </c>
    </row>
    <row r="549" spans="74:74" x14ac:dyDescent="0.3">
      <c r="BV549" s="32">
        <f t="shared" ca="1" si="8"/>
        <v>121</v>
      </c>
    </row>
    <row r="550" spans="74:74" x14ac:dyDescent="0.3">
      <c r="BV550" s="32">
        <f t="shared" ca="1" si="8"/>
        <v>121</v>
      </c>
    </row>
    <row r="551" spans="74:74" x14ac:dyDescent="0.3">
      <c r="BV551" s="32">
        <f t="shared" ca="1" si="8"/>
        <v>121</v>
      </c>
    </row>
    <row r="552" spans="74:74" x14ac:dyDescent="0.3">
      <c r="BV552" s="32">
        <f t="shared" ca="1" si="8"/>
        <v>121</v>
      </c>
    </row>
    <row r="553" spans="74:74" x14ac:dyDescent="0.3">
      <c r="BV553" s="32">
        <f t="shared" ca="1" si="8"/>
        <v>121</v>
      </c>
    </row>
    <row r="554" spans="74:74" x14ac:dyDescent="0.3">
      <c r="BV554" s="32">
        <f t="shared" ca="1" si="8"/>
        <v>121</v>
      </c>
    </row>
    <row r="555" spans="74:74" x14ac:dyDescent="0.3">
      <c r="BV555" s="32">
        <f t="shared" ca="1" si="8"/>
        <v>121</v>
      </c>
    </row>
    <row r="556" spans="74:74" x14ac:dyDescent="0.3">
      <c r="BV556" s="32">
        <f t="shared" ca="1" si="8"/>
        <v>121</v>
      </c>
    </row>
    <row r="557" spans="74:74" x14ac:dyDescent="0.3">
      <c r="BV557" s="32">
        <f t="shared" ca="1" si="8"/>
        <v>121</v>
      </c>
    </row>
    <row r="558" spans="74:74" x14ac:dyDescent="0.3">
      <c r="BV558" s="32">
        <f t="shared" ca="1" si="8"/>
        <v>121</v>
      </c>
    </row>
    <row r="559" spans="74:74" x14ac:dyDescent="0.3">
      <c r="BV559" s="32">
        <f t="shared" ca="1" si="8"/>
        <v>121</v>
      </c>
    </row>
    <row r="560" spans="74:74" x14ac:dyDescent="0.3">
      <c r="BV560" s="32">
        <f t="shared" ca="1" si="8"/>
        <v>121</v>
      </c>
    </row>
    <row r="561" spans="74:74" x14ac:dyDescent="0.3">
      <c r="BV561" s="32">
        <f t="shared" ca="1" si="8"/>
        <v>121</v>
      </c>
    </row>
    <row r="562" spans="74:74" x14ac:dyDescent="0.3">
      <c r="BV562" s="32">
        <f t="shared" ca="1" si="8"/>
        <v>121</v>
      </c>
    </row>
    <row r="563" spans="74:74" x14ac:dyDescent="0.3">
      <c r="BV563" s="32">
        <f t="shared" ca="1" si="8"/>
        <v>121</v>
      </c>
    </row>
    <row r="564" spans="74:74" x14ac:dyDescent="0.3">
      <c r="BV564" s="32">
        <f t="shared" ca="1" si="8"/>
        <v>121</v>
      </c>
    </row>
    <row r="565" spans="74:74" x14ac:dyDescent="0.3">
      <c r="BV565" s="32">
        <f t="shared" ca="1" si="8"/>
        <v>121</v>
      </c>
    </row>
    <row r="566" spans="74:74" x14ac:dyDescent="0.3">
      <c r="BV566" s="32">
        <f t="shared" ca="1" si="8"/>
        <v>121</v>
      </c>
    </row>
    <row r="567" spans="74:74" x14ac:dyDescent="0.3">
      <c r="BV567" s="32">
        <f t="shared" ca="1" si="8"/>
        <v>121</v>
      </c>
    </row>
    <row r="568" spans="74:74" x14ac:dyDescent="0.3">
      <c r="BV568" s="32">
        <f t="shared" ca="1" si="8"/>
        <v>121</v>
      </c>
    </row>
    <row r="569" spans="74:74" x14ac:dyDescent="0.3">
      <c r="BV569" s="32">
        <f t="shared" ca="1" si="8"/>
        <v>121</v>
      </c>
    </row>
    <row r="570" spans="74:74" x14ac:dyDescent="0.3">
      <c r="BV570" s="32">
        <f t="shared" ca="1" si="8"/>
        <v>121</v>
      </c>
    </row>
    <row r="571" spans="74:74" x14ac:dyDescent="0.3">
      <c r="BV571" s="32">
        <f t="shared" ca="1" si="8"/>
        <v>121</v>
      </c>
    </row>
    <row r="572" spans="74:74" x14ac:dyDescent="0.3">
      <c r="BV572" s="32">
        <f t="shared" ca="1" si="8"/>
        <v>121</v>
      </c>
    </row>
    <row r="573" spans="74:74" x14ac:dyDescent="0.3">
      <c r="BV573" s="32">
        <f t="shared" ca="1" si="8"/>
        <v>121</v>
      </c>
    </row>
    <row r="574" spans="74:74" x14ac:dyDescent="0.3">
      <c r="BV574" s="32">
        <f t="shared" ca="1" si="8"/>
        <v>121</v>
      </c>
    </row>
    <row r="575" spans="74:74" x14ac:dyDescent="0.3">
      <c r="BV575" s="32">
        <f t="shared" ca="1" si="8"/>
        <v>121</v>
      </c>
    </row>
    <row r="576" spans="74:74" x14ac:dyDescent="0.3">
      <c r="BV576" s="32">
        <f t="shared" ca="1" si="8"/>
        <v>121</v>
      </c>
    </row>
    <row r="577" spans="74:74" x14ac:dyDescent="0.3">
      <c r="BV577" s="32">
        <f t="shared" ca="1" si="8"/>
        <v>121</v>
      </c>
    </row>
    <row r="578" spans="74:74" x14ac:dyDescent="0.3">
      <c r="BV578" s="32">
        <f t="shared" ca="1" si="8"/>
        <v>121</v>
      </c>
    </row>
    <row r="579" spans="74:74" x14ac:dyDescent="0.3">
      <c r="BV579" s="32">
        <f t="shared" ca="1" si="8"/>
        <v>121</v>
      </c>
    </row>
    <row r="580" spans="74:74" x14ac:dyDescent="0.3">
      <c r="BV580" s="32">
        <f t="shared" ca="1" si="8"/>
        <v>121</v>
      </c>
    </row>
    <row r="581" spans="74:74" x14ac:dyDescent="0.3">
      <c r="BV581" s="32">
        <f t="shared" ca="1" si="8"/>
        <v>121</v>
      </c>
    </row>
    <row r="582" spans="74:74" x14ac:dyDescent="0.3">
      <c r="BV582" s="32">
        <f t="shared" ca="1" si="8"/>
        <v>121</v>
      </c>
    </row>
    <row r="583" spans="74:74" x14ac:dyDescent="0.3">
      <c r="BV583" s="32">
        <f t="shared" ca="1" si="8"/>
        <v>121</v>
      </c>
    </row>
    <row r="584" spans="74:74" x14ac:dyDescent="0.3">
      <c r="BV584" s="32">
        <f t="shared" ca="1" si="8"/>
        <v>121</v>
      </c>
    </row>
    <row r="585" spans="74:74" x14ac:dyDescent="0.3">
      <c r="BV585" s="32">
        <f t="shared" ca="1" si="8"/>
        <v>121</v>
      </c>
    </row>
    <row r="586" spans="74:74" x14ac:dyDescent="0.3">
      <c r="BV586" s="32">
        <f t="shared" ca="1" si="8"/>
        <v>121</v>
      </c>
    </row>
    <row r="587" spans="74:74" x14ac:dyDescent="0.3">
      <c r="BV587" s="32">
        <f t="shared" ca="1" si="8"/>
        <v>121</v>
      </c>
    </row>
    <row r="588" spans="74:74" x14ac:dyDescent="0.3">
      <c r="BV588" s="32">
        <f t="shared" ca="1" si="8"/>
        <v>121</v>
      </c>
    </row>
    <row r="589" spans="74:74" x14ac:dyDescent="0.3">
      <c r="BV589" s="32">
        <f t="shared" ref="BV589:BV652" ca="1" si="9">INT((TODAY()-$I589)/365)</f>
        <v>121</v>
      </c>
    </row>
    <row r="590" spans="74:74" x14ac:dyDescent="0.3">
      <c r="BV590" s="32">
        <f t="shared" ca="1" si="9"/>
        <v>121</v>
      </c>
    </row>
    <row r="591" spans="74:74" x14ac:dyDescent="0.3">
      <c r="BV591" s="32">
        <f t="shared" ca="1" si="9"/>
        <v>121</v>
      </c>
    </row>
    <row r="592" spans="74:74" x14ac:dyDescent="0.3">
      <c r="BV592" s="32">
        <f t="shared" ca="1" si="9"/>
        <v>121</v>
      </c>
    </row>
    <row r="593" spans="74:74" x14ac:dyDescent="0.3">
      <c r="BV593" s="32">
        <f t="shared" ca="1" si="9"/>
        <v>121</v>
      </c>
    </row>
    <row r="594" spans="74:74" x14ac:dyDescent="0.3">
      <c r="BV594" s="32">
        <f t="shared" ca="1" si="9"/>
        <v>121</v>
      </c>
    </row>
    <row r="595" spans="74:74" x14ac:dyDescent="0.3">
      <c r="BV595" s="32">
        <f t="shared" ca="1" si="9"/>
        <v>121</v>
      </c>
    </row>
    <row r="596" spans="74:74" x14ac:dyDescent="0.3">
      <c r="BV596" s="32">
        <f t="shared" ca="1" si="9"/>
        <v>121</v>
      </c>
    </row>
    <row r="597" spans="74:74" x14ac:dyDescent="0.3">
      <c r="BV597" s="32">
        <f t="shared" ca="1" si="9"/>
        <v>121</v>
      </c>
    </row>
    <row r="598" spans="74:74" x14ac:dyDescent="0.3">
      <c r="BV598" s="32">
        <f t="shared" ca="1" si="9"/>
        <v>121</v>
      </c>
    </row>
    <row r="599" spans="74:74" x14ac:dyDescent="0.3">
      <c r="BV599" s="32">
        <f t="shared" ca="1" si="9"/>
        <v>121</v>
      </c>
    </row>
    <row r="600" spans="74:74" x14ac:dyDescent="0.3">
      <c r="BV600" s="32">
        <f t="shared" ca="1" si="9"/>
        <v>121</v>
      </c>
    </row>
    <row r="601" spans="74:74" x14ac:dyDescent="0.3">
      <c r="BV601" s="32">
        <f t="shared" ca="1" si="9"/>
        <v>121</v>
      </c>
    </row>
    <row r="602" spans="74:74" x14ac:dyDescent="0.3">
      <c r="BV602" s="32">
        <f t="shared" ca="1" si="9"/>
        <v>121</v>
      </c>
    </row>
    <row r="603" spans="74:74" x14ac:dyDescent="0.3">
      <c r="BV603" s="32">
        <f t="shared" ca="1" si="9"/>
        <v>121</v>
      </c>
    </row>
    <row r="604" spans="74:74" x14ac:dyDescent="0.3">
      <c r="BV604" s="32">
        <f t="shared" ca="1" si="9"/>
        <v>121</v>
      </c>
    </row>
    <row r="605" spans="74:74" x14ac:dyDescent="0.3">
      <c r="BV605" s="32">
        <f t="shared" ca="1" si="9"/>
        <v>121</v>
      </c>
    </row>
    <row r="606" spans="74:74" x14ac:dyDescent="0.3">
      <c r="BV606" s="32">
        <f t="shared" ca="1" si="9"/>
        <v>121</v>
      </c>
    </row>
    <row r="607" spans="74:74" x14ac:dyDescent="0.3">
      <c r="BV607" s="32">
        <f t="shared" ca="1" si="9"/>
        <v>121</v>
      </c>
    </row>
    <row r="608" spans="74:74" x14ac:dyDescent="0.3">
      <c r="BV608" s="32">
        <f t="shared" ca="1" si="9"/>
        <v>121</v>
      </c>
    </row>
    <row r="609" spans="74:74" x14ac:dyDescent="0.3">
      <c r="BV609" s="32">
        <f t="shared" ca="1" si="9"/>
        <v>121</v>
      </c>
    </row>
    <row r="610" spans="74:74" x14ac:dyDescent="0.3">
      <c r="BV610" s="32">
        <f t="shared" ca="1" si="9"/>
        <v>121</v>
      </c>
    </row>
    <row r="611" spans="74:74" x14ac:dyDescent="0.3">
      <c r="BV611" s="32">
        <f t="shared" ca="1" si="9"/>
        <v>121</v>
      </c>
    </row>
    <row r="612" spans="74:74" x14ac:dyDescent="0.3">
      <c r="BV612" s="32">
        <f t="shared" ca="1" si="9"/>
        <v>121</v>
      </c>
    </row>
    <row r="613" spans="74:74" x14ac:dyDescent="0.3">
      <c r="BV613" s="32">
        <f t="shared" ca="1" si="9"/>
        <v>121</v>
      </c>
    </row>
    <row r="614" spans="74:74" x14ac:dyDescent="0.3">
      <c r="BV614" s="32">
        <f t="shared" ca="1" si="9"/>
        <v>121</v>
      </c>
    </row>
    <row r="615" spans="74:74" x14ac:dyDescent="0.3">
      <c r="BV615" s="32">
        <f t="shared" ca="1" si="9"/>
        <v>121</v>
      </c>
    </row>
    <row r="616" spans="74:74" x14ac:dyDescent="0.3">
      <c r="BV616" s="32">
        <f t="shared" ca="1" si="9"/>
        <v>121</v>
      </c>
    </row>
    <row r="617" spans="74:74" x14ac:dyDescent="0.3">
      <c r="BV617" s="32">
        <f t="shared" ca="1" si="9"/>
        <v>121</v>
      </c>
    </row>
    <row r="618" spans="74:74" x14ac:dyDescent="0.3">
      <c r="BV618" s="32">
        <f t="shared" ca="1" si="9"/>
        <v>121</v>
      </c>
    </row>
    <row r="619" spans="74:74" x14ac:dyDescent="0.3">
      <c r="BV619" s="32">
        <f t="shared" ca="1" si="9"/>
        <v>121</v>
      </c>
    </row>
    <row r="620" spans="74:74" x14ac:dyDescent="0.3">
      <c r="BV620" s="32">
        <f t="shared" ca="1" si="9"/>
        <v>121</v>
      </c>
    </row>
    <row r="621" spans="74:74" x14ac:dyDescent="0.3">
      <c r="BV621" s="32">
        <f t="shared" ca="1" si="9"/>
        <v>121</v>
      </c>
    </row>
    <row r="622" spans="74:74" x14ac:dyDescent="0.3">
      <c r="BV622" s="32">
        <f t="shared" ca="1" si="9"/>
        <v>121</v>
      </c>
    </row>
    <row r="623" spans="74:74" x14ac:dyDescent="0.3">
      <c r="BV623" s="32">
        <f t="shared" ca="1" si="9"/>
        <v>121</v>
      </c>
    </row>
    <row r="624" spans="74:74" x14ac:dyDescent="0.3">
      <c r="BV624" s="32">
        <f t="shared" ca="1" si="9"/>
        <v>121</v>
      </c>
    </row>
    <row r="625" spans="74:74" x14ac:dyDescent="0.3">
      <c r="BV625" s="32">
        <f t="shared" ca="1" si="9"/>
        <v>121</v>
      </c>
    </row>
    <row r="626" spans="74:74" x14ac:dyDescent="0.3">
      <c r="BV626" s="32">
        <f t="shared" ca="1" si="9"/>
        <v>121</v>
      </c>
    </row>
    <row r="627" spans="74:74" x14ac:dyDescent="0.3">
      <c r="BV627" s="32">
        <f t="shared" ca="1" si="9"/>
        <v>121</v>
      </c>
    </row>
    <row r="628" spans="74:74" x14ac:dyDescent="0.3">
      <c r="BV628" s="32">
        <f t="shared" ca="1" si="9"/>
        <v>121</v>
      </c>
    </row>
    <row r="629" spans="74:74" x14ac:dyDescent="0.3">
      <c r="BV629" s="32">
        <f t="shared" ca="1" si="9"/>
        <v>121</v>
      </c>
    </row>
    <row r="630" spans="74:74" x14ac:dyDescent="0.3">
      <c r="BV630" s="32">
        <f t="shared" ca="1" si="9"/>
        <v>121</v>
      </c>
    </row>
    <row r="631" spans="74:74" x14ac:dyDescent="0.3">
      <c r="BV631" s="32">
        <f t="shared" ca="1" si="9"/>
        <v>121</v>
      </c>
    </row>
    <row r="632" spans="74:74" x14ac:dyDescent="0.3">
      <c r="BV632" s="32">
        <f t="shared" ca="1" si="9"/>
        <v>121</v>
      </c>
    </row>
    <row r="633" spans="74:74" x14ac:dyDescent="0.3">
      <c r="BV633" s="32">
        <f t="shared" ca="1" si="9"/>
        <v>121</v>
      </c>
    </row>
    <row r="634" spans="74:74" x14ac:dyDescent="0.3">
      <c r="BV634" s="32">
        <f t="shared" ca="1" si="9"/>
        <v>121</v>
      </c>
    </row>
    <row r="635" spans="74:74" x14ac:dyDescent="0.3">
      <c r="BV635" s="32">
        <f t="shared" ca="1" si="9"/>
        <v>121</v>
      </c>
    </row>
    <row r="636" spans="74:74" x14ac:dyDescent="0.3">
      <c r="BV636" s="32">
        <f t="shared" ca="1" si="9"/>
        <v>121</v>
      </c>
    </row>
    <row r="637" spans="74:74" x14ac:dyDescent="0.3">
      <c r="BV637" s="32">
        <f t="shared" ca="1" si="9"/>
        <v>121</v>
      </c>
    </row>
    <row r="638" spans="74:74" x14ac:dyDescent="0.3">
      <c r="BV638" s="32">
        <f t="shared" ca="1" si="9"/>
        <v>121</v>
      </c>
    </row>
    <row r="639" spans="74:74" x14ac:dyDescent="0.3">
      <c r="BV639" s="32">
        <f t="shared" ca="1" si="9"/>
        <v>121</v>
      </c>
    </row>
    <row r="640" spans="74:74" x14ac:dyDescent="0.3">
      <c r="BV640" s="32">
        <f t="shared" ca="1" si="9"/>
        <v>121</v>
      </c>
    </row>
    <row r="641" spans="74:74" x14ac:dyDescent="0.3">
      <c r="BV641" s="32">
        <f t="shared" ca="1" si="9"/>
        <v>121</v>
      </c>
    </row>
    <row r="642" spans="74:74" x14ac:dyDescent="0.3">
      <c r="BV642" s="32">
        <f t="shared" ca="1" si="9"/>
        <v>121</v>
      </c>
    </row>
    <row r="643" spans="74:74" x14ac:dyDescent="0.3">
      <c r="BV643" s="32">
        <f t="shared" ca="1" si="9"/>
        <v>121</v>
      </c>
    </row>
    <row r="644" spans="74:74" x14ac:dyDescent="0.3">
      <c r="BV644" s="32">
        <f t="shared" ca="1" si="9"/>
        <v>121</v>
      </c>
    </row>
    <row r="645" spans="74:74" x14ac:dyDescent="0.3">
      <c r="BV645" s="32">
        <f t="shared" ca="1" si="9"/>
        <v>121</v>
      </c>
    </row>
    <row r="646" spans="74:74" x14ac:dyDescent="0.3">
      <c r="BV646" s="32">
        <f t="shared" ca="1" si="9"/>
        <v>121</v>
      </c>
    </row>
    <row r="647" spans="74:74" x14ac:dyDescent="0.3">
      <c r="BV647" s="32">
        <f t="shared" ca="1" si="9"/>
        <v>121</v>
      </c>
    </row>
    <row r="648" spans="74:74" x14ac:dyDescent="0.3">
      <c r="BV648" s="32">
        <f t="shared" ca="1" si="9"/>
        <v>121</v>
      </c>
    </row>
    <row r="649" spans="74:74" x14ac:dyDescent="0.3">
      <c r="BV649" s="32">
        <f t="shared" ca="1" si="9"/>
        <v>121</v>
      </c>
    </row>
    <row r="650" spans="74:74" x14ac:dyDescent="0.3">
      <c r="BV650" s="32">
        <f t="shared" ca="1" si="9"/>
        <v>121</v>
      </c>
    </row>
    <row r="651" spans="74:74" x14ac:dyDescent="0.3">
      <c r="BV651" s="32">
        <f t="shared" ca="1" si="9"/>
        <v>121</v>
      </c>
    </row>
    <row r="652" spans="74:74" x14ac:dyDescent="0.3">
      <c r="BV652" s="32">
        <f t="shared" ca="1" si="9"/>
        <v>121</v>
      </c>
    </row>
    <row r="653" spans="74:74" x14ac:dyDescent="0.3">
      <c r="BV653" s="32">
        <f t="shared" ref="BV653:BV716" ca="1" si="10">INT((TODAY()-$I653)/365)</f>
        <v>121</v>
      </c>
    </row>
    <row r="654" spans="74:74" x14ac:dyDescent="0.3">
      <c r="BV654" s="32">
        <f t="shared" ca="1" si="10"/>
        <v>121</v>
      </c>
    </row>
    <row r="655" spans="74:74" x14ac:dyDescent="0.3">
      <c r="BV655" s="32">
        <f t="shared" ca="1" si="10"/>
        <v>121</v>
      </c>
    </row>
    <row r="656" spans="74:74" x14ac:dyDescent="0.3">
      <c r="BV656" s="32">
        <f t="shared" ca="1" si="10"/>
        <v>121</v>
      </c>
    </row>
    <row r="657" spans="74:74" x14ac:dyDescent="0.3">
      <c r="BV657" s="32">
        <f t="shared" ca="1" si="10"/>
        <v>121</v>
      </c>
    </row>
    <row r="658" spans="74:74" x14ac:dyDescent="0.3">
      <c r="BV658" s="32">
        <f t="shared" ca="1" si="10"/>
        <v>121</v>
      </c>
    </row>
    <row r="659" spans="74:74" x14ac:dyDescent="0.3">
      <c r="BV659" s="32">
        <f t="shared" ca="1" si="10"/>
        <v>121</v>
      </c>
    </row>
    <row r="660" spans="74:74" x14ac:dyDescent="0.3">
      <c r="BV660" s="32">
        <f t="shared" ca="1" si="10"/>
        <v>121</v>
      </c>
    </row>
    <row r="661" spans="74:74" x14ac:dyDescent="0.3">
      <c r="BV661" s="32">
        <f t="shared" ca="1" si="10"/>
        <v>121</v>
      </c>
    </row>
    <row r="662" spans="74:74" x14ac:dyDescent="0.3">
      <c r="BV662" s="32">
        <f t="shared" ca="1" si="10"/>
        <v>121</v>
      </c>
    </row>
    <row r="663" spans="74:74" x14ac:dyDescent="0.3">
      <c r="BV663" s="32">
        <f t="shared" ca="1" si="10"/>
        <v>121</v>
      </c>
    </row>
    <row r="664" spans="74:74" x14ac:dyDescent="0.3">
      <c r="BV664" s="32">
        <f t="shared" ca="1" si="10"/>
        <v>121</v>
      </c>
    </row>
    <row r="665" spans="74:74" x14ac:dyDescent="0.3">
      <c r="BV665" s="32">
        <f t="shared" ca="1" si="10"/>
        <v>121</v>
      </c>
    </row>
    <row r="666" spans="74:74" x14ac:dyDescent="0.3">
      <c r="BV666" s="32">
        <f t="shared" ca="1" si="10"/>
        <v>121</v>
      </c>
    </row>
    <row r="667" spans="74:74" x14ac:dyDescent="0.3">
      <c r="BV667" s="32">
        <f t="shared" ca="1" si="10"/>
        <v>121</v>
      </c>
    </row>
    <row r="668" spans="74:74" x14ac:dyDescent="0.3">
      <c r="BV668" s="32">
        <f t="shared" ca="1" si="10"/>
        <v>121</v>
      </c>
    </row>
    <row r="669" spans="74:74" x14ac:dyDescent="0.3">
      <c r="BV669" s="32">
        <f t="shared" ca="1" si="10"/>
        <v>121</v>
      </c>
    </row>
    <row r="670" spans="74:74" x14ac:dyDescent="0.3">
      <c r="BV670" s="32">
        <f t="shared" ca="1" si="10"/>
        <v>121</v>
      </c>
    </row>
    <row r="671" spans="74:74" x14ac:dyDescent="0.3">
      <c r="BV671" s="32">
        <f t="shared" ca="1" si="10"/>
        <v>121</v>
      </c>
    </row>
    <row r="672" spans="74:74" x14ac:dyDescent="0.3">
      <c r="BV672" s="32">
        <f t="shared" ca="1" si="10"/>
        <v>121</v>
      </c>
    </row>
    <row r="673" spans="74:74" x14ac:dyDescent="0.3">
      <c r="BV673" s="32">
        <f t="shared" ca="1" si="10"/>
        <v>121</v>
      </c>
    </row>
    <row r="674" spans="74:74" x14ac:dyDescent="0.3">
      <c r="BV674" s="32">
        <f t="shared" ca="1" si="10"/>
        <v>121</v>
      </c>
    </row>
    <row r="675" spans="74:74" x14ac:dyDescent="0.3">
      <c r="BV675" s="32">
        <f t="shared" ca="1" si="10"/>
        <v>121</v>
      </c>
    </row>
    <row r="676" spans="74:74" x14ac:dyDescent="0.3">
      <c r="BV676" s="32">
        <f t="shared" ca="1" si="10"/>
        <v>121</v>
      </c>
    </row>
    <row r="677" spans="74:74" x14ac:dyDescent="0.3">
      <c r="BV677" s="32">
        <f t="shared" ca="1" si="10"/>
        <v>121</v>
      </c>
    </row>
    <row r="678" spans="74:74" x14ac:dyDescent="0.3">
      <c r="BV678" s="32">
        <f t="shared" ca="1" si="10"/>
        <v>121</v>
      </c>
    </row>
    <row r="679" spans="74:74" x14ac:dyDescent="0.3">
      <c r="BV679" s="32">
        <f t="shared" ca="1" si="10"/>
        <v>121</v>
      </c>
    </row>
    <row r="680" spans="74:74" x14ac:dyDescent="0.3">
      <c r="BV680" s="32">
        <f t="shared" ca="1" si="10"/>
        <v>121</v>
      </c>
    </row>
    <row r="681" spans="74:74" x14ac:dyDescent="0.3">
      <c r="BV681" s="32">
        <f t="shared" ca="1" si="10"/>
        <v>121</v>
      </c>
    </row>
    <row r="682" spans="74:74" x14ac:dyDescent="0.3">
      <c r="BV682" s="32">
        <f t="shared" ca="1" si="10"/>
        <v>121</v>
      </c>
    </row>
    <row r="683" spans="74:74" x14ac:dyDescent="0.3">
      <c r="BV683" s="32">
        <f t="shared" ca="1" si="10"/>
        <v>121</v>
      </c>
    </row>
    <row r="684" spans="74:74" x14ac:dyDescent="0.3">
      <c r="BV684" s="32">
        <f t="shared" ca="1" si="10"/>
        <v>121</v>
      </c>
    </row>
    <row r="685" spans="74:74" x14ac:dyDescent="0.3">
      <c r="BV685" s="32">
        <f t="shared" ca="1" si="10"/>
        <v>121</v>
      </c>
    </row>
    <row r="686" spans="74:74" x14ac:dyDescent="0.3">
      <c r="BV686" s="32">
        <f t="shared" ca="1" si="10"/>
        <v>121</v>
      </c>
    </row>
    <row r="687" spans="74:74" x14ac:dyDescent="0.3">
      <c r="BV687" s="32">
        <f t="shared" ca="1" si="10"/>
        <v>121</v>
      </c>
    </row>
    <row r="688" spans="74:74" x14ac:dyDescent="0.3">
      <c r="BV688" s="32">
        <f t="shared" ca="1" si="10"/>
        <v>121</v>
      </c>
    </row>
    <row r="689" spans="74:74" x14ac:dyDescent="0.3">
      <c r="BV689" s="32">
        <f t="shared" ca="1" si="10"/>
        <v>121</v>
      </c>
    </row>
    <row r="690" spans="74:74" x14ac:dyDescent="0.3">
      <c r="BV690" s="32">
        <f t="shared" ca="1" si="10"/>
        <v>121</v>
      </c>
    </row>
    <row r="691" spans="74:74" x14ac:dyDescent="0.3">
      <c r="BV691" s="32">
        <f t="shared" ca="1" si="10"/>
        <v>121</v>
      </c>
    </row>
    <row r="692" spans="74:74" x14ac:dyDescent="0.3">
      <c r="BV692" s="32">
        <f t="shared" ca="1" si="10"/>
        <v>121</v>
      </c>
    </row>
    <row r="693" spans="74:74" x14ac:dyDescent="0.3">
      <c r="BV693" s="32">
        <f t="shared" ca="1" si="10"/>
        <v>121</v>
      </c>
    </row>
    <row r="694" spans="74:74" x14ac:dyDescent="0.3">
      <c r="BV694" s="32">
        <f t="shared" ca="1" si="10"/>
        <v>121</v>
      </c>
    </row>
    <row r="695" spans="74:74" x14ac:dyDescent="0.3">
      <c r="BV695" s="32">
        <f t="shared" ca="1" si="10"/>
        <v>121</v>
      </c>
    </row>
    <row r="696" spans="74:74" x14ac:dyDescent="0.3">
      <c r="BV696" s="32">
        <f t="shared" ca="1" si="10"/>
        <v>121</v>
      </c>
    </row>
    <row r="697" spans="74:74" x14ac:dyDescent="0.3">
      <c r="BV697" s="32">
        <f t="shared" ca="1" si="10"/>
        <v>121</v>
      </c>
    </row>
    <row r="698" spans="74:74" x14ac:dyDescent="0.3">
      <c r="BV698" s="32">
        <f t="shared" ca="1" si="10"/>
        <v>121</v>
      </c>
    </row>
    <row r="699" spans="74:74" x14ac:dyDescent="0.3">
      <c r="BV699" s="32">
        <f t="shared" ca="1" si="10"/>
        <v>121</v>
      </c>
    </row>
    <row r="700" spans="74:74" x14ac:dyDescent="0.3">
      <c r="BV700" s="32">
        <f t="shared" ca="1" si="10"/>
        <v>121</v>
      </c>
    </row>
    <row r="701" spans="74:74" x14ac:dyDescent="0.3">
      <c r="BV701" s="32">
        <f t="shared" ca="1" si="10"/>
        <v>121</v>
      </c>
    </row>
    <row r="702" spans="74:74" x14ac:dyDescent="0.3">
      <c r="BV702" s="32">
        <f t="shared" ca="1" si="10"/>
        <v>121</v>
      </c>
    </row>
    <row r="703" spans="74:74" x14ac:dyDescent="0.3">
      <c r="BV703" s="32">
        <f t="shared" ca="1" si="10"/>
        <v>121</v>
      </c>
    </row>
    <row r="704" spans="74:74" x14ac:dyDescent="0.3">
      <c r="BV704" s="32">
        <f t="shared" ca="1" si="10"/>
        <v>121</v>
      </c>
    </row>
    <row r="705" spans="74:74" x14ac:dyDescent="0.3">
      <c r="BV705" s="32">
        <f t="shared" ca="1" si="10"/>
        <v>121</v>
      </c>
    </row>
    <row r="706" spans="74:74" x14ac:dyDescent="0.3">
      <c r="BV706" s="32">
        <f t="shared" ca="1" si="10"/>
        <v>121</v>
      </c>
    </row>
    <row r="707" spans="74:74" x14ac:dyDescent="0.3">
      <c r="BV707" s="32">
        <f t="shared" ca="1" si="10"/>
        <v>121</v>
      </c>
    </row>
    <row r="708" spans="74:74" x14ac:dyDescent="0.3">
      <c r="BV708" s="32">
        <f t="shared" ca="1" si="10"/>
        <v>121</v>
      </c>
    </row>
    <row r="709" spans="74:74" x14ac:dyDescent="0.3">
      <c r="BV709" s="32">
        <f t="shared" ca="1" si="10"/>
        <v>121</v>
      </c>
    </row>
    <row r="710" spans="74:74" x14ac:dyDescent="0.3">
      <c r="BV710" s="32">
        <f t="shared" ca="1" si="10"/>
        <v>121</v>
      </c>
    </row>
    <row r="711" spans="74:74" x14ac:dyDescent="0.3">
      <c r="BV711" s="32">
        <f t="shared" ca="1" si="10"/>
        <v>121</v>
      </c>
    </row>
    <row r="712" spans="74:74" x14ac:dyDescent="0.3">
      <c r="BV712" s="32">
        <f t="shared" ca="1" si="10"/>
        <v>121</v>
      </c>
    </row>
    <row r="713" spans="74:74" x14ac:dyDescent="0.3">
      <c r="BV713" s="32">
        <f t="shared" ca="1" si="10"/>
        <v>121</v>
      </c>
    </row>
    <row r="714" spans="74:74" x14ac:dyDescent="0.3">
      <c r="BV714" s="32">
        <f t="shared" ca="1" si="10"/>
        <v>121</v>
      </c>
    </row>
    <row r="715" spans="74:74" x14ac:dyDescent="0.3">
      <c r="BV715" s="32">
        <f t="shared" ca="1" si="10"/>
        <v>121</v>
      </c>
    </row>
    <row r="716" spans="74:74" x14ac:dyDescent="0.3">
      <c r="BV716" s="32">
        <f t="shared" ca="1" si="10"/>
        <v>121</v>
      </c>
    </row>
    <row r="717" spans="74:74" x14ac:dyDescent="0.3">
      <c r="BV717" s="32">
        <f t="shared" ref="BV717:BV780" ca="1" si="11">INT((TODAY()-$I717)/365)</f>
        <v>121</v>
      </c>
    </row>
    <row r="718" spans="74:74" x14ac:dyDescent="0.3">
      <c r="BV718" s="32">
        <f t="shared" ca="1" si="11"/>
        <v>121</v>
      </c>
    </row>
    <row r="719" spans="74:74" x14ac:dyDescent="0.3">
      <c r="BV719" s="32">
        <f t="shared" ca="1" si="11"/>
        <v>121</v>
      </c>
    </row>
    <row r="720" spans="74:74" x14ac:dyDescent="0.3">
      <c r="BV720" s="32">
        <f t="shared" ca="1" si="11"/>
        <v>121</v>
      </c>
    </row>
    <row r="721" spans="74:74" x14ac:dyDescent="0.3">
      <c r="BV721" s="32">
        <f t="shared" ca="1" si="11"/>
        <v>121</v>
      </c>
    </row>
    <row r="722" spans="74:74" x14ac:dyDescent="0.3">
      <c r="BV722" s="32">
        <f t="shared" ca="1" si="11"/>
        <v>121</v>
      </c>
    </row>
    <row r="723" spans="74:74" x14ac:dyDescent="0.3">
      <c r="BV723" s="32">
        <f t="shared" ca="1" si="11"/>
        <v>121</v>
      </c>
    </row>
    <row r="724" spans="74:74" x14ac:dyDescent="0.3">
      <c r="BV724" s="32">
        <f t="shared" ca="1" si="11"/>
        <v>121</v>
      </c>
    </row>
    <row r="725" spans="74:74" x14ac:dyDescent="0.3">
      <c r="BV725" s="32">
        <f t="shared" ca="1" si="11"/>
        <v>121</v>
      </c>
    </row>
    <row r="726" spans="74:74" x14ac:dyDescent="0.3">
      <c r="BV726" s="32">
        <f t="shared" ca="1" si="11"/>
        <v>121</v>
      </c>
    </row>
    <row r="727" spans="74:74" x14ac:dyDescent="0.3">
      <c r="BV727" s="32">
        <f t="shared" ca="1" si="11"/>
        <v>121</v>
      </c>
    </row>
    <row r="728" spans="74:74" x14ac:dyDescent="0.3">
      <c r="BV728" s="32">
        <f t="shared" ca="1" si="11"/>
        <v>121</v>
      </c>
    </row>
    <row r="729" spans="74:74" x14ac:dyDescent="0.3">
      <c r="BV729" s="32">
        <f t="shared" ca="1" si="11"/>
        <v>121</v>
      </c>
    </row>
    <row r="730" spans="74:74" x14ac:dyDescent="0.3">
      <c r="BV730" s="32">
        <f t="shared" ca="1" si="11"/>
        <v>121</v>
      </c>
    </row>
    <row r="731" spans="74:74" x14ac:dyDescent="0.3">
      <c r="BV731" s="32">
        <f t="shared" ca="1" si="11"/>
        <v>121</v>
      </c>
    </row>
    <row r="732" spans="74:74" x14ac:dyDescent="0.3">
      <c r="BV732" s="32">
        <f t="shared" ca="1" si="11"/>
        <v>121</v>
      </c>
    </row>
    <row r="733" spans="74:74" x14ac:dyDescent="0.3">
      <c r="BV733" s="32">
        <f t="shared" ca="1" si="11"/>
        <v>121</v>
      </c>
    </row>
    <row r="734" spans="74:74" x14ac:dyDescent="0.3">
      <c r="BV734" s="32">
        <f t="shared" ca="1" si="11"/>
        <v>121</v>
      </c>
    </row>
    <row r="735" spans="74:74" x14ac:dyDescent="0.3">
      <c r="BV735" s="32">
        <f t="shared" ca="1" si="11"/>
        <v>121</v>
      </c>
    </row>
    <row r="736" spans="74:74" x14ac:dyDescent="0.3">
      <c r="BV736" s="32">
        <f t="shared" ca="1" si="11"/>
        <v>121</v>
      </c>
    </row>
    <row r="737" spans="74:74" x14ac:dyDescent="0.3">
      <c r="BV737" s="32">
        <f t="shared" ca="1" si="11"/>
        <v>121</v>
      </c>
    </row>
    <row r="738" spans="74:74" x14ac:dyDescent="0.3">
      <c r="BV738" s="32">
        <f t="shared" ca="1" si="11"/>
        <v>121</v>
      </c>
    </row>
    <row r="739" spans="74:74" x14ac:dyDescent="0.3">
      <c r="BV739" s="32">
        <f t="shared" ca="1" si="11"/>
        <v>121</v>
      </c>
    </row>
    <row r="740" spans="74:74" x14ac:dyDescent="0.3">
      <c r="BV740" s="32">
        <f t="shared" ca="1" si="11"/>
        <v>121</v>
      </c>
    </row>
    <row r="741" spans="74:74" x14ac:dyDescent="0.3">
      <c r="BV741" s="32">
        <f t="shared" ca="1" si="11"/>
        <v>121</v>
      </c>
    </row>
    <row r="742" spans="74:74" x14ac:dyDescent="0.3">
      <c r="BV742" s="32">
        <f t="shared" ca="1" si="11"/>
        <v>121</v>
      </c>
    </row>
    <row r="743" spans="74:74" x14ac:dyDescent="0.3">
      <c r="BV743" s="32">
        <f t="shared" ca="1" si="11"/>
        <v>121</v>
      </c>
    </row>
    <row r="744" spans="74:74" x14ac:dyDescent="0.3">
      <c r="BV744" s="32">
        <f t="shared" ca="1" si="11"/>
        <v>121</v>
      </c>
    </row>
    <row r="745" spans="74:74" x14ac:dyDescent="0.3">
      <c r="BV745" s="32">
        <f t="shared" ca="1" si="11"/>
        <v>121</v>
      </c>
    </row>
    <row r="746" spans="74:74" x14ac:dyDescent="0.3">
      <c r="BV746" s="32">
        <f t="shared" ca="1" si="11"/>
        <v>121</v>
      </c>
    </row>
    <row r="747" spans="74:74" x14ac:dyDescent="0.3">
      <c r="BV747" s="32">
        <f t="shared" ca="1" si="11"/>
        <v>121</v>
      </c>
    </row>
    <row r="748" spans="74:74" x14ac:dyDescent="0.3">
      <c r="BV748" s="32">
        <f t="shared" ca="1" si="11"/>
        <v>121</v>
      </c>
    </row>
    <row r="749" spans="74:74" x14ac:dyDescent="0.3">
      <c r="BV749" s="32">
        <f t="shared" ca="1" si="11"/>
        <v>121</v>
      </c>
    </row>
    <row r="750" spans="74:74" x14ac:dyDescent="0.3">
      <c r="BV750" s="32">
        <f t="shared" ca="1" si="11"/>
        <v>121</v>
      </c>
    </row>
    <row r="751" spans="74:74" x14ac:dyDescent="0.3">
      <c r="BV751" s="32">
        <f t="shared" ca="1" si="11"/>
        <v>121</v>
      </c>
    </row>
    <row r="752" spans="74:74" x14ac:dyDescent="0.3">
      <c r="BV752" s="32">
        <f t="shared" ca="1" si="11"/>
        <v>121</v>
      </c>
    </row>
    <row r="753" spans="74:74" x14ac:dyDescent="0.3">
      <c r="BV753" s="32">
        <f t="shared" ca="1" si="11"/>
        <v>121</v>
      </c>
    </row>
    <row r="754" spans="74:74" x14ac:dyDescent="0.3">
      <c r="BV754" s="32">
        <f t="shared" ca="1" si="11"/>
        <v>121</v>
      </c>
    </row>
    <row r="755" spans="74:74" x14ac:dyDescent="0.3">
      <c r="BV755" s="32">
        <f t="shared" ca="1" si="11"/>
        <v>121</v>
      </c>
    </row>
    <row r="756" spans="74:74" x14ac:dyDescent="0.3">
      <c r="BV756" s="32">
        <f t="shared" ca="1" si="11"/>
        <v>121</v>
      </c>
    </row>
    <row r="757" spans="74:74" x14ac:dyDescent="0.3">
      <c r="BV757" s="32">
        <f t="shared" ca="1" si="11"/>
        <v>121</v>
      </c>
    </row>
    <row r="758" spans="74:74" x14ac:dyDescent="0.3">
      <c r="BV758" s="32">
        <f t="shared" ca="1" si="11"/>
        <v>121</v>
      </c>
    </row>
    <row r="759" spans="74:74" x14ac:dyDescent="0.3">
      <c r="BV759" s="32">
        <f t="shared" ca="1" si="11"/>
        <v>121</v>
      </c>
    </row>
    <row r="760" spans="74:74" x14ac:dyDescent="0.3">
      <c r="BV760" s="32">
        <f t="shared" ca="1" si="11"/>
        <v>121</v>
      </c>
    </row>
    <row r="761" spans="74:74" x14ac:dyDescent="0.3">
      <c r="BV761" s="32">
        <f t="shared" ca="1" si="11"/>
        <v>121</v>
      </c>
    </row>
    <row r="762" spans="74:74" x14ac:dyDescent="0.3">
      <c r="BV762" s="32">
        <f t="shared" ca="1" si="11"/>
        <v>121</v>
      </c>
    </row>
    <row r="763" spans="74:74" x14ac:dyDescent="0.3">
      <c r="BV763" s="32">
        <f t="shared" ca="1" si="11"/>
        <v>121</v>
      </c>
    </row>
    <row r="764" spans="74:74" x14ac:dyDescent="0.3">
      <c r="BV764" s="32">
        <f t="shared" ca="1" si="11"/>
        <v>121</v>
      </c>
    </row>
    <row r="765" spans="74:74" x14ac:dyDescent="0.3">
      <c r="BV765" s="32">
        <f t="shared" ca="1" si="11"/>
        <v>121</v>
      </c>
    </row>
    <row r="766" spans="74:74" x14ac:dyDescent="0.3">
      <c r="BV766" s="32">
        <f t="shared" ca="1" si="11"/>
        <v>121</v>
      </c>
    </row>
    <row r="767" spans="74:74" x14ac:dyDescent="0.3">
      <c r="BV767" s="32">
        <f t="shared" ca="1" si="11"/>
        <v>121</v>
      </c>
    </row>
    <row r="768" spans="74:74" x14ac:dyDescent="0.3">
      <c r="BV768" s="32">
        <f t="shared" ca="1" si="11"/>
        <v>121</v>
      </c>
    </row>
    <row r="769" spans="74:74" x14ac:dyDescent="0.3">
      <c r="BV769" s="32">
        <f t="shared" ca="1" si="11"/>
        <v>121</v>
      </c>
    </row>
    <row r="770" spans="74:74" x14ac:dyDescent="0.3">
      <c r="BV770" s="32">
        <f t="shared" ca="1" si="11"/>
        <v>121</v>
      </c>
    </row>
    <row r="771" spans="74:74" x14ac:dyDescent="0.3">
      <c r="BV771" s="32">
        <f t="shared" ca="1" si="11"/>
        <v>121</v>
      </c>
    </row>
    <row r="772" spans="74:74" x14ac:dyDescent="0.3">
      <c r="BV772" s="32">
        <f t="shared" ca="1" si="11"/>
        <v>121</v>
      </c>
    </row>
    <row r="773" spans="74:74" x14ac:dyDescent="0.3">
      <c r="BV773" s="32">
        <f t="shared" ca="1" si="11"/>
        <v>121</v>
      </c>
    </row>
    <row r="774" spans="74:74" x14ac:dyDescent="0.3">
      <c r="BV774" s="32">
        <f t="shared" ca="1" si="11"/>
        <v>121</v>
      </c>
    </row>
    <row r="775" spans="74:74" x14ac:dyDescent="0.3">
      <c r="BV775" s="32">
        <f t="shared" ca="1" si="11"/>
        <v>121</v>
      </c>
    </row>
    <row r="776" spans="74:74" x14ac:dyDescent="0.3">
      <c r="BV776" s="32">
        <f t="shared" ca="1" si="11"/>
        <v>121</v>
      </c>
    </row>
    <row r="777" spans="74:74" x14ac:dyDescent="0.3">
      <c r="BV777" s="32">
        <f t="shared" ca="1" si="11"/>
        <v>121</v>
      </c>
    </row>
    <row r="778" spans="74:74" x14ac:dyDescent="0.3">
      <c r="BV778" s="32">
        <f t="shared" ca="1" si="11"/>
        <v>121</v>
      </c>
    </row>
    <row r="779" spans="74:74" x14ac:dyDescent="0.3">
      <c r="BV779" s="32">
        <f t="shared" ca="1" si="11"/>
        <v>121</v>
      </c>
    </row>
    <row r="780" spans="74:74" x14ac:dyDescent="0.3">
      <c r="BV780" s="32">
        <f t="shared" ca="1" si="11"/>
        <v>121</v>
      </c>
    </row>
    <row r="781" spans="74:74" x14ac:dyDescent="0.3">
      <c r="BV781" s="32">
        <f t="shared" ref="BV781:BV844" ca="1" si="12">INT((TODAY()-$I781)/365)</f>
        <v>121</v>
      </c>
    </row>
    <row r="782" spans="74:74" x14ac:dyDescent="0.3">
      <c r="BV782" s="32">
        <f t="shared" ca="1" si="12"/>
        <v>121</v>
      </c>
    </row>
    <row r="783" spans="74:74" x14ac:dyDescent="0.3">
      <c r="BV783" s="32">
        <f t="shared" ca="1" si="12"/>
        <v>121</v>
      </c>
    </row>
    <row r="784" spans="74:74" x14ac:dyDescent="0.3">
      <c r="BV784" s="32">
        <f t="shared" ca="1" si="12"/>
        <v>121</v>
      </c>
    </row>
    <row r="785" spans="74:74" x14ac:dyDescent="0.3">
      <c r="BV785" s="32">
        <f t="shared" ca="1" si="12"/>
        <v>121</v>
      </c>
    </row>
    <row r="786" spans="74:74" x14ac:dyDescent="0.3">
      <c r="BV786" s="32">
        <f t="shared" ca="1" si="12"/>
        <v>121</v>
      </c>
    </row>
    <row r="787" spans="74:74" x14ac:dyDescent="0.3">
      <c r="BV787" s="32">
        <f t="shared" ca="1" si="12"/>
        <v>121</v>
      </c>
    </row>
    <row r="788" spans="74:74" x14ac:dyDescent="0.3">
      <c r="BV788" s="32">
        <f t="shared" ca="1" si="12"/>
        <v>121</v>
      </c>
    </row>
    <row r="789" spans="74:74" x14ac:dyDescent="0.3">
      <c r="BV789" s="32">
        <f t="shared" ca="1" si="12"/>
        <v>121</v>
      </c>
    </row>
    <row r="790" spans="74:74" x14ac:dyDescent="0.3">
      <c r="BV790" s="32">
        <f t="shared" ca="1" si="12"/>
        <v>121</v>
      </c>
    </row>
    <row r="791" spans="74:74" x14ac:dyDescent="0.3">
      <c r="BV791" s="32">
        <f t="shared" ca="1" si="12"/>
        <v>121</v>
      </c>
    </row>
    <row r="792" spans="74:74" x14ac:dyDescent="0.3">
      <c r="BV792" s="32">
        <f t="shared" ca="1" si="12"/>
        <v>121</v>
      </c>
    </row>
    <row r="793" spans="74:74" x14ac:dyDescent="0.3">
      <c r="BV793" s="32">
        <f t="shared" ca="1" si="12"/>
        <v>121</v>
      </c>
    </row>
    <row r="794" spans="74:74" x14ac:dyDescent="0.3">
      <c r="BV794" s="32">
        <f t="shared" ca="1" si="12"/>
        <v>121</v>
      </c>
    </row>
    <row r="795" spans="74:74" x14ac:dyDescent="0.3">
      <c r="BV795" s="32">
        <f t="shared" ca="1" si="12"/>
        <v>121</v>
      </c>
    </row>
    <row r="796" spans="74:74" x14ac:dyDescent="0.3">
      <c r="BV796" s="32">
        <f t="shared" ca="1" si="12"/>
        <v>121</v>
      </c>
    </row>
    <row r="797" spans="74:74" x14ac:dyDescent="0.3">
      <c r="BV797" s="32">
        <f t="shared" ca="1" si="12"/>
        <v>121</v>
      </c>
    </row>
    <row r="798" spans="74:74" x14ac:dyDescent="0.3">
      <c r="BV798" s="32">
        <f t="shared" ca="1" si="12"/>
        <v>121</v>
      </c>
    </row>
    <row r="799" spans="74:74" x14ac:dyDescent="0.3">
      <c r="BV799" s="32">
        <f t="shared" ca="1" si="12"/>
        <v>121</v>
      </c>
    </row>
    <row r="800" spans="74:74" x14ac:dyDescent="0.3">
      <c r="BV800" s="32">
        <f t="shared" ca="1" si="12"/>
        <v>121</v>
      </c>
    </row>
    <row r="801" spans="74:74" x14ac:dyDescent="0.3">
      <c r="BV801" s="32">
        <f t="shared" ca="1" si="12"/>
        <v>121</v>
      </c>
    </row>
    <row r="802" spans="74:74" x14ac:dyDescent="0.3">
      <c r="BV802" s="32">
        <f t="shared" ca="1" si="12"/>
        <v>121</v>
      </c>
    </row>
    <row r="803" spans="74:74" x14ac:dyDescent="0.3">
      <c r="BV803" s="32">
        <f t="shared" ca="1" si="12"/>
        <v>121</v>
      </c>
    </row>
    <row r="804" spans="74:74" x14ac:dyDescent="0.3">
      <c r="BV804" s="32">
        <f t="shared" ca="1" si="12"/>
        <v>121</v>
      </c>
    </row>
    <row r="805" spans="74:74" x14ac:dyDescent="0.3">
      <c r="BV805" s="32">
        <f t="shared" ca="1" si="12"/>
        <v>121</v>
      </c>
    </row>
    <row r="806" spans="74:74" x14ac:dyDescent="0.3">
      <c r="BV806" s="32">
        <f t="shared" ca="1" si="12"/>
        <v>121</v>
      </c>
    </row>
    <row r="807" spans="74:74" x14ac:dyDescent="0.3">
      <c r="BV807" s="32">
        <f t="shared" ca="1" si="12"/>
        <v>121</v>
      </c>
    </row>
    <row r="808" spans="74:74" x14ac:dyDescent="0.3">
      <c r="BV808" s="32">
        <f t="shared" ca="1" si="12"/>
        <v>121</v>
      </c>
    </row>
    <row r="809" spans="74:74" x14ac:dyDescent="0.3">
      <c r="BV809" s="32">
        <f t="shared" ca="1" si="12"/>
        <v>121</v>
      </c>
    </row>
    <row r="810" spans="74:74" x14ac:dyDescent="0.3">
      <c r="BV810" s="32">
        <f t="shared" ca="1" si="12"/>
        <v>121</v>
      </c>
    </row>
    <row r="811" spans="74:74" x14ac:dyDescent="0.3">
      <c r="BV811" s="32">
        <f t="shared" ca="1" si="12"/>
        <v>121</v>
      </c>
    </row>
    <row r="812" spans="74:74" x14ac:dyDescent="0.3">
      <c r="BV812" s="32">
        <f t="shared" ca="1" si="12"/>
        <v>121</v>
      </c>
    </row>
    <row r="813" spans="74:74" x14ac:dyDescent="0.3">
      <c r="BV813" s="32">
        <f t="shared" ca="1" si="12"/>
        <v>121</v>
      </c>
    </row>
    <row r="814" spans="74:74" x14ac:dyDescent="0.3">
      <c r="BV814" s="32">
        <f t="shared" ca="1" si="12"/>
        <v>121</v>
      </c>
    </row>
    <row r="815" spans="74:74" x14ac:dyDescent="0.3">
      <c r="BV815" s="32">
        <f t="shared" ca="1" si="12"/>
        <v>121</v>
      </c>
    </row>
    <row r="816" spans="74:74" x14ac:dyDescent="0.3">
      <c r="BV816" s="32">
        <f t="shared" ca="1" si="12"/>
        <v>121</v>
      </c>
    </row>
    <row r="817" spans="74:74" x14ac:dyDescent="0.3">
      <c r="BV817" s="32">
        <f t="shared" ca="1" si="12"/>
        <v>121</v>
      </c>
    </row>
    <row r="818" spans="74:74" x14ac:dyDescent="0.3">
      <c r="BV818" s="32">
        <f t="shared" ca="1" si="12"/>
        <v>121</v>
      </c>
    </row>
    <row r="819" spans="74:74" x14ac:dyDescent="0.3">
      <c r="BV819" s="32">
        <f t="shared" ca="1" si="12"/>
        <v>121</v>
      </c>
    </row>
    <row r="820" spans="74:74" x14ac:dyDescent="0.3">
      <c r="BV820" s="32">
        <f t="shared" ca="1" si="12"/>
        <v>121</v>
      </c>
    </row>
    <row r="821" spans="74:74" x14ac:dyDescent="0.3">
      <c r="BV821" s="32">
        <f t="shared" ca="1" si="12"/>
        <v>121</v>
      </c>
    </row>
    <row r="822" spans="74:74" x14ac:dyDescent="0.3">
      <c r="BV822" s="32">
        <f t="shared" ca="1" si="12"/>
        <v>121</v>
      </c>
    </row>
    <row r="823" spans="74:74" x14ac:dyDescent="0.3">
      <c r="BV823" s="32">
        <f t="shared" ca="1" si="12"/>
        <v>121</v>
      </c>
    </row>
    <row r="824" spans="74:74" x14ac:dyDescent="0.3">
      <c r="BV824" s="32">
        <f t="shared" ca="1" si="12"/>
        <v>121</v>
      </c>
    </row>
    <row r="825" spans="74:74" x14ac:dyDescent="0.3">
      <c r="BV825" s="32">
        <f t="shared" ca="1" si="12"/>
        <v>121</v>
      </c>
    </row>
    <row r="826" spans="74:74" x14ac:dyDescent="0.3">
      <c r="BV826" s="32">
        <f t="shared" ca="1" si="12"/>
        <v>121</v>
      </c>
    </row>
    <row r="827" spans="74:74" x14ac:dyDescent="0.3">
      <c r="BV827" s="32">
        <f t="shared" ca="1" si="12"/>
        <v>121</v>
      </c>
    </row>
    <row r="828" spans="74:74" x14ac:dyDescent="0.3">
      <c r="BV828" s="32">
        <f t="shared" ca="1" si="12"/>
        <v>121</v>
      </c>
    </row>
    <row r="829" spans="74:74" x14ac:dyDescent="0.3">
      <c r="BV829" s="32">
        <f t="shared" ca="1" si="12"/>
        <v>121</v>
      </c>
    </row>
    <row r="830" spans="74:74" x14ac:dyDescent="0.3">
      <c r="BV830" s="32">
        <f t="shared" ca="1" si="12"/>
        <v>121</v>
      </c>
    </row>
    <row r="831" spans="74:74" x14ac:dyDescent="0.3">
      <c r="BV831" s="32">
        <f t="shared" ca="1" si="12"/>
        <v>121</v>
      </c>
    </row>
    <row r="832" spans="74:74" x14ac:dyDescent="0.3">
      <c r="BV832" s="32">
        <f t="shared" ca="1" si="12"/>
        <v>121</v>
      </c>
    </row>
    <row r="833" spans="74:74" x14ac:dyDescent="0.3">
      <c r="BV833" s="32">
        <f t="shared" ca="1" si="12"/>
        <v>121</v>
      </c>
    </row>
    <row r="834" spans="74:74" x14ac:dyDescent="0.3">
      <c r="BV834" s="32">
        <f t="shared" ca="1" si="12"/>
        <v>121</v>
      </c>
    </row>
    <row r="835" spans="74:74" x14ac:dyDescent="0.3">
      <c r="BV835" s="32">
        <f t="shared" ca="1" si="12"/>
        <v>121</v>
      </c>
    </row>
    <row r="836" spans="74:74" x14ac:dyDescent="0.3">
      <c r="BV836" s="32">
        <f t="shared" ca="1" si="12"/>
        <v>121</v>
      </c>
    </row>
    <row r="837" spans="74:74" x14ac:dyDescent="0.3">
      <c r="BV837" s="32">
        <f t="shared" ca="1" si="12"/>
        <v>121</v>
      </c>
    </row>
    <row r="838" spans="74:74" x14ac:dyDescent="0.3">
      <c r="BV838" s="32">
        <f t="shared" ca="1" si="12"/>
        <v>121</v>
      </c>
    </row>
    <row r="839" spans="74:74" x14ac:dyDescent="0.3">
      <c r="BV839" s="32">
        <f t="shared" ca="1" si="12"/>
        <v>121</v>
      </c>
    </row>
    <row r="840" spans="74:74" x14ac:dyDescent="0.3">
      <c r="BV840" s="32">
        <f t="shared" ca="1" si="12"/>
        <v>121</v>
      </c>
    </row>
    <row r="841" spans="74:74" x14ac:dyDescent="0.3">
      <c r="BV841" s="32">
        <f t="shared" ca="1" si="12"/>
        <v>121</v>
      </c>
    </row>
    <row r="842" spans="74:74" x14ac:dyDescent="0.3">
      <c r="BV842" s="32">
        <f t="shared" ca="1" si="12"/>
        <v>121</v>
      </c>
    </row>
    <row r="843" spans="74:74" x14ac:dyDescent="0.3">
      <c r="BV843" s="32">
        <f t="shared" ca="1" si="12"/>
        <v>121</v>
      </c>
    </row>
    <row r="844" spans="74:74" x14ac:dyDescent="0.3">
      <c r="BV844" s="32">
        <f t="shared" ca="1" si="12"/>
        <v>121</v>
      </c>
    </row>
    <row r="845" spans="74:74" x14ac:dyDescent="0.3">
      <c r="BV845" s="32">
        <f t="shared" ref="BV845:BV908" ca="1" si="13">INT((TODAY()-$I845)/365)</f>
        <v>121</v>
      </c>
    </row>
    <row r="846" spans="74:74" x14ac:dyDescent="0.3">
      <c r="BV846" s="32">
        <f t="shared" ca="1" si="13"/>
        <v>121</v>
      </c>
    </row>
    <row r="847" spans="74:74" x14ac:dyDescent="0.3">
      <c r="BV847" s="32">
        <f t="shared" ca="1" si="13"/>
        <v>121</v>
      </c>
    </row>
    <row r="848" spans="74:74" x14ac:dyDescent="0.3">
      <c r="BV848" s="32">
        <f t="shared" ca="1" si="13"/>
        <v>121</v>
      </c>
    </row>
    <row r="849" spans="74:74" x14ac:dyDescent="0.3">
      <c r="BV849" s="32">
        <f t="shared" ca="1" si="13"/>
        <v>121</v>
      </c>
    </row>
    <row r="850" spans="74:74" x14ac:dyDescent="0.3">
      <c r="BV850" s="32">
        <f t="shared" ca="1" si="13"/>
        <v>121</v>
      </c>
    </row>
    <row r="851" spans="74:74" x14ac:dyDescent="0.3">
      <c r="BV851" s="32">
        <f t="shared" ca="1" si="13"/>
        <v>121</v>
      </c>
    </row>
    <row r="852" spans="74:74" x14ac:dyDescent="0.3">
      <c r="BV852" s="32">
        <f t="shared" ca="1" si="13"/>
        <v>121</v>
      </c>
    </row>
    <row r="853" spans="74:74" x14ac:dyDescent="0.3">
      <c r="BV853" s="32">
        <f t="shared" ca="1" si="13"/>
        <v>121</v>
      </c>
    </row>
    <row r="854" spans="74:74" x14ac:dyDescent="0.3">
      <c r="BV854" s="32">
        <f t="shared" ca="1" si="13"/>
        <v>121</v>
      </c>
    </row>
    <row r="855" spans="74:74" x14ac:dyDescent="0.3">
      <c r="BV855" s="32">
        <f t="shared" ca="1" si="13"/>
        <v>121</v>
      </c>
    </row>
    <row r="856" spans="74:74" x14ac:dyDescent="0.3">
      <c r="BV856" s="32">
        <f t="shared" ca="1" si="13"/>
        <v>121</v>
      </c>
    </row>
    <row r="857" spans="74:74" x14ac:dyDescent="0.3">
      <c r="BV857" s="32">
        <f t="shared" ca="1" si="13"/>
        <v>121</v>
      </c>
    </row>
    <row r="858" spans="74:74" x14ac:dyDescent="0.3">
      <c r="BV858" s="32">
        <f t="shared" ca="1" si="13"/>
        <v>121</v>
      </c>
    </row>
    <row r="859" spans="74:74" x14ac:dyDescent="0.3">
      <c r="BV859" s="32">
        <f t="shared" ca="1" si="13"/>
        <v>121</v>
      </c>
    </row>
    <row r="860" spans="74:74" x14ac:dyDescent="0.3">
      <c r="BV860" s="32">
        <f t="shared" ca="1" si="13"/>
        <v>121</v>
      </c>
    </row>
    <row r="861" spans="74:74" x14ac:dyDescent="0.3">
      <c r="BV861" s="32">
        <f t="shared" ca="1" si="13"/>
        <v>121</v>
      </c>
    </row>
    <row r="862" spans="74:74" x14ac:dyDescent="0.3">
      <c r="BV862" s="32">
        <f t="shared" ca="1" si="13"/>
        <v>121</v>
      </c>
    </row>
    <row r="863" spans="74:74" x14ac:dyDescent="0.3">
      <c r="BV863" s="32">
        <f t="shared" ca="1" si="13"/>
        <v>121</v>
      </c>
    </row>
    <row r="864" spans="74:74" x14ac:dyDescent="0.3">
      <c r="BV864" s="32">
        <f t="shared" ca="1" si="13"/>
        <v>121</v>
      </c>
    </row>
    <row r="865" spans="74:74" x14ac:dyDescent="0.3">
      <c r="BV865" s="32">
        <f t="shared" ca="1" si="13"/>
        <v>121</v>
      </c>
    </row>
    <row r="866" spans="74:74" x14ac:dyDescent="0.3">
      <c r="BV866" s="32">
        <f t="shared" ca="1" si="13"/>
        <v>121</v>
      </c>
    </row>
    <row r="867" spans="74:74" x14ac:dyDescent="0.3">
      <c r="BV867" s="32">
        <f t="shared" ca="1" si="13"/>
        <v>121</v>
      </c>
    </row>
    <row r="868" spans="74:74" x14ac:dyDescent="0.3">
      <c r="BV868" s="32">
        <f t="shared" ca="1" si="13"/>
        <v>121</v>
      </c>
    </row>
    <row r="869" spans="74:74" x14ac:dyDescent="0.3">
      <c r="BV869" s="32">
        <f t="shared" ca="1" si="13"/>
        <v>121</v>
      </c>
    </row>
    <row r="870" spans="74:74" x14ac:dyDescent="0.3">
      <c r="BV870" s="32">
        <f t="shared" ca="1" si="13"/>
        <v>121</v>
      </c>
    </row>
    <row r="871" spans="74:74" x14ac:dyDescent="0.3">
      <c r="BV871" s="32">
        <f t="shared" ca="1" si="13"/>
        <v>121</v>
      </c>
    </row>
    <row r="872" spans="74:74" x14ac:dyDescent="0.3">
      <c r="BV872" s="32">
        <f t="shared" ca="1" si="13"/>
        <v>121</v>
      </c>
    </row>
    <row r="873" spans="74:74" x14ac:dyDescent="0.3">
      <c r="BV873" s="32">
        <f t="shared" ca="1" si="13"/>
        <v>121</v>
      </c>
    </row>
    <row r="874" spans="74:74" x14ac:dyDescent="0.3">
      <c r="BV874" s="32">
        <f t="shared" ca="1" si="13"/>
        <v>121</v>
      </c>
    </row>
    <row r="875" spans="74:74" x14ac:dyDescent="0.3">
      <c r="BV875" s="32">
        <f t="shared" ca="1" si="13"/>
        <v>121</v>
      </c>
    </row>
    <row r="876" spans="74:74" x14ac:dyDescent="0.3">
      <c r="BV876" s="32">
        <f t="shared" ca="1" si="13"/>
        <v>121</v>
      </c>
    </row>
    <row r="877" spans="74:74" x14ac:dyDescent="0.3">
      <c r="BV877" s="32">
        <f t="shared" ca="1" si="13"/>
        <v>121</v>
      </c>
    </row>
    <row r="878" spans="74:74" x14ac:dyDescent="0.3">
      <c r="BV878" s="32">
        <f t="shared" ca="1" si="13"/>
        <v>121</v>
      </c>
    </row>
    <row r="879" spans="74:74" x14ac:dyDescent="0.3">
      <c r="BV879" s="32">
        <f t="shared" ca="1" si="13"/>
        <v>121</v>
      </c>
    </row>
    <row r="880" spans="74:74" x14ac:dyDescent="0.3">
      <c r="BV880" s="32">
        <f t="shared" ca="1" si="13"/>
        <v>121</v>
      </c>
    </row>
    <row r="881" spans="74:74" x14ac:dyDescent="0.3">
      <c r="BV881" s="32">
        <f t="shared" ca="1" si="13"/>
        <v>121</v>
      </c>
    </row>
    <row r="882" spans="74:74" x14ac:dyDescent="0.3">
      <c r="BV882" s="32">
        <f t="shared" ca="1" si="13"/>
        <v>121</v>
      </c>
    </row>
    <row r="883" spans="74:74" x14ac:dyDescent="0.3">
      <c r="BV883" s="32">
        <f t="shared" ca="1" si="13"/>
        <v>121</v>
      </c>
    </row>
    <row r="884" spans="74:74" x14ac:dyDescent="0.3">
      <c r="BV884" s="32">
        <f t="shared" ca="1" si="13"/>
        <v>121</v>
      </c>
    </row>
    <row r="885" spans="74:74" x14ac:dyDescent="0.3">
      <c r="BV885" s="32">
        <f t="shared" ca="1" si="13"/>
        <v>121</v>
      </c>
    </row>
    <row r="886" spans="74:74" x14ac:dyDescent="0.3">
      <c r="BV886" s="32">
        <f t="shared" ca="1" si="13"/>
        <v>121</v>
      </c>
    </row>
    <row r="887" spans="74:74" x14ac:dyDescent="0.3">
      <c r="BV887" s="32">
        <f t="shared" ca="1" si="13"/>
        <v>121</v>
      </c>
    </row>
    <row r="888" spans="74:74" x14ac:dyDescent="0.3">
      <c r="BV888" s="32">
        <f t="shared" ca="1" si="13"/>
        <v>121</v>
      </c>
    </row>
    <row r="889" spans="74:74" x14ac:dyDescent="0.3">
      <c r="BV889" s="32">
        <f t="shared" ca="1" si="13"/>
        <v>121</v>
      </c>
    </row>
    <row r="890" spans="74:74" x14ac:dyDescent="0.3">
      <c r="BV890" s="32">
        <f t="shared" ca="1" si="13"/>
        <v>121</v>
      </c>
    </row>
    <row r="891" spans="74:74" x14ac:dyDescent="0.3">
      <c r="BV891" s="32">
        <f t="shared" ca="1" si="13"/>
        <v>121</v>
      </c>
    </row>
    <row r="892" spans="74:74" x14ac:dyDescent="0.3">
      <c r="BV892" s="32">
        <f t="shared" ca="1" si="13"/>
        <v>121</v>
      </c>
    </row>
    <row r="893" spans="74:74" x14ac:dyDescent="0.3">
      <c r="BV893" s="32">
        <f t="shared" ca="1" si="13"/>
        <v>121</v>
      </c>
    </row>
    <row r="894" spans="74:74" x14ac:dyDescent="0.3">
      <c r="BV894" s="32">
        <f t="shared" ca="1" si="13"/>
        <v>121</v>
      </c>
    </row>
    <row r="895" spans="74:74" x14ac:dyDescent="0.3">
      <c r="BV895" s="32">
        <f t="shared" ca="1" si="13"/>
        <v>121</v>
      </c>
    </row>
    <row r="896" spans="74:74" x14ac:dyDescent="0.3">
      <c r="BV896" s="32">
        <f t="shared" ca="1" si="13"/>
        <v>121</v>
      </c>
    </row>
    <row r="897" spans="74:74" x14ac:dyDescent="0.3">
      <c r="BV897" s="32">
        <f t="shared" ca="1" si="13"/>
        <v>121</v>
      </c>
    </row>
    <row r="898" spans="74:74" x14ac:dyDescent="0.3">
      <c r="BV898" s="32">
        <f t="shared" ca="1" si="13"/>
        <v>121</v>
      </c>
    </row>
    <row r="899" spans="74:74" x14ac:dyDescent="0.3">
      <c r="BV899" s="32">
        <f t="shared" ca="1" si="13"/>
        <v>121</v>
      </c>
    </row>
    <row r="900" spans="74:74" x14ac:dyDescent="0.3">
      <c r="BV900" s="32">
        <f t="shared" ca="1" si="13"/>
        <v>121</v>
      </c>
    </row>
    <row r="901" spans="74:74" x14ac:dyDescent="0.3">
      <c r="BV901" s="32">
        <f t="shared" ca="1" si="13"/>
        <v>121</v>
      </c>
    </row>
    <row r="902" spans="74:74" x14ac:dyDescent="0.3">
      <c r="BV902" s="32">
        <f t="shared" ca="1" si="13"/>
        <v>121</v>
      </c>
    </row>
    <row r="903" spans="74:74" x14ac:dyDescent="0.3">
      <c r="BV903" s="32">
        <f t="shared" ca="1" si="13"/>
        <v>121</v>
      </c>
    </row>
    <row r="904" spans="74:74" x14ac:dyDescent="0.3">
      <c r="BV904" s="32">
        <f t="shared" ca="1" si="13"/>
        <v>121</v>
      </c>
    </row>
    <row r="905" spans="74:74" x14ac:dyDescent="0.3">
      <c r="BV905" s="32">
        <f t="shared" ca="1" si="13"/>
        <v>121</v>
      </c>
    </row>
    <row r="906" spans="74:74" x14ac:dyDescent="0.3">
      <c r="BV906" s="32">
        <f t="shared" ca="1" si="13"/>
        <v>121</v>
      </c>
    </row>
    <row r="907" spans="74:74" x14ac:dyDescent="0.3">
      <c r="BV907" s="32">
        <f t="shared" ca="1" si="13"/>
        <v>121</v>
      </c>
    </row>
    <row r="908" spans="74:74" x14ac:dyDescent="0.3">
      <c r="BV908" s="32">
        <f t="shared" ca="1" si="13"/>
        <v>121</v>
      </c>
    </row>
    <row r="909" spans="74:74" x14ac:dyDescent="0.3">
      <c r="BV909" s="32">
        <f t="shared" ref="BV909:BV972" ca="1" si="14">INT((TODAY()-$I909)/365)</f>
        <v>121</v>
      </c>
    </row>
    <row r="910" spans="74:74" x14ac:dyDescent="0.3">
      <c r="BV910" s="32">
        <f t="shared" ca="1" si="14"/>
        <v>121</v>
      </c>
    </row>
    <row r="911" spans="74:74" x14ac:dyDescent="0.3">
      <c r="BV911" s="32">
        <f t="shared" ca="1" si="14"/>
        <v>121</v>
      </c>
    </row>
    <row r="912" spans="74:74" x14ac:dyDescent="0.3">
      <c r="BV912" s="32">
        <f t="shared" ca="1" si="14"/>
        <v>121</v>
      </c>
    </row>
    <row r="913" spans="74:74" x14ac:dyDescent="0.3">
      <c r="BV913" s="32">
        <f t="shared" ca="1" si="14"/>
        <v>121</v>
      </c>
    </row>
    <row r="914" spans="74:74" x14ac:dyDescent="0.3">
      <c r="BV914" s="32">
        <f t="shared" ca="1" si="14"/>
        <v>121</v>
      </c>
    </row>
    <row r="915" spans="74:74" x14ac:dyDescent="0.3">
      <c r="BV915" s="32">
        <f t="shared" ca="1" si="14"/>
        <v>121</v>
      </c>
    </row>
    <row r="916" spans="74:74" x14ac:dyDescent="0.3">
      <c r="BV916" s="32">
        <f t="shared" ca="1" si="14"/>
        <v>121</v>
      </c>
    </row>
    <row r="917" spans="74:74" x14ac:dyDescent="0.3">
      <c r="BV917" s="32">
        <f t="shared" ca="1" si="14"/>
        <v>121</v>
      </c>
    </row>
    <row r="918" spans="74:74" x14ac:dyDescent="0.3">
      <c r="BV918" s="32">
        <f t="shared" ca="1" si="14"/>
        <v>121</v>
      </c>
    </row>
    <row r="919" spans="74:74" x14ac:dyDescent="0.3">
      <c r="BV919" s="32">
        <f t="shared" ca="1" si="14"/>
        <v>121</v>
      </c>
    </row>
    <row r="920" spans="74:74" x14ac:dyDescent="0.3">
      <c r="BV920" s="32">
        <f t="shared" ca="1" si="14"/>
        <v>121</v>
      </c>
    </row>
    <row r="921" spans="74:74" x14ac:dyDescent="0.3">
      <c r="BV921" s="32">
        <f t="shared" ca="1" si="14"/>
        <v>121</v>
      </c>
    </row>
    <row r="922" spans="74:74" x14ac:dyDescent="0.3">
      <c r="BV922" s="32">
        <f t="shared" ca="1" si="14"/>
        <v>121</v>
      </c>
    </row>
    <row r="923" spans="74:74" x14ac:dyDescent="0.3">
      <c r="BV923" s="32">
        <f t="shared" ca="1" si="14"/>
        <v>121</v>
      </c>
    </row>
    <row r="924" spans="74:74" x14ac:dyDescent="0.3">
      <c r="BV924" s="32">
        <f t="shared" ca="1" si="14"/>
        <v>121</v>
      </c>
    </row>
    <row r="925" spans="74:74" x14ac:dyDescent="0.3">
      <c r="BV925" s="32">
        <f t="shared" ca="1" si="14"/>
        <v>121</v>
      </c>
    </row>
    <row r="926" spans="74:74" x14ac:dyDescent="0.3">
      <c r="BV926" s="32">
        <f t="shared" ca="1" si="14"/>
        <v>121</v>
      </c>
    </row>
    <row r="927" spans="74:74" x14ac:dyDescent="0.3">
      <c r="BV927" s="32">
        <f t="shared" ca="1" si="14"/>
        <v>121</v>
      </c>
    </row>
    <row r="928" spans="74:74" x14ac:dyDescent="0.3">
      <c r="BV928" s="32">
        <f t="shared" ca="1" si="14"/>
        <v>121</v>
      </c>
    </row>
    <row r="929" spans="74:74" x14ac:dyDescent="0.3">
      <c r="BV929" s="32">
        <f t="shared" ca="1" si="14"/>
        <v>121</v>
      </c>
    </row>
    <row r="930" spans="74:74" x14ac:dyDescent="0.3">
      <c r="BV930" s="32">
        <f t="shared" ca="1" si="14"/>
        <v>121</v>
      </c>
    </row>
    <row r="931" spans="74:74" x14ac:dyDescent="0.3">
      <c r="BV931" s="32">
        <f t="shared" ca="1" si="14"/>
        <v>121</v>
      </c>
    </row>
    <row r="932" spans="74:74" x14ac:dyDescent="0.3">
      <c r="BV932" s="32">
        <f t="shared" ca="1" si="14"/>
        <v>121</v>
      </c>
    </row>
    <row r="933" spans="74:74" x14ac:dyDescent="0.3">
      <c r="BV933" s="32">
        <f t="shared" ca="1" si="14"/>
        <v>121</v>
      </c>
    </row>
    <row r="934" spans="74:74" x14ac:dyDescent="0.3">
      <c r="BV934" s="32">
        <f t="shared" ca="1" si="14"/>
        <v>121</v>
      </c>
    </row>
    <row r="935" spans="74:74" x14ac:dyDescent="0.3">
      <c r="BV935" s="32">
        <f t="shared" ca="1" si="14"/>
        <v>121</v>
      </c>
    </row>
    <row r="936" spans="74:74" x14ac:dyDescent="0.3">
      <c r="BV936" s="32">
        <f t="shared" ca="1" si="14"/>
        <v>121</v>
      </c>
    </row>
    <row r="937" spans="74:74" x14ac:dyDescent="0.3">
      <c r="BV937" s="32">
        <f t="shared" ca="1" si="14"/>
        <v>121</v>
      </c>
    </row>
    <row r="938" spans="74:74" x14ac:dyDescent="0.3">
      <c r="BV938" s="32">
        <f t="shared" ca="1" si="14"/>
        <v>121</v>
      </c>
    </row>
    <row r="939" spans="74:74" x14ac:dyDescent="0.3">
      <c r="BV939" s="32">
        <f t="shared" ca="1" si="14"/>
        <v>121</v>
      </c>
    </row>
    <row r="940" spans="74:74" x14ac:dyDescent="0.3">
      <c r="BV940" s="32">
        <f t="shared" ca="1" si="14"/>
        <v>121</v>
      </c>
    </row>
    <row r="941" spans="74:74" x14ac:dyDescent="0.3">
      <c r="BV941" s="32">
        <f t="shared" ca="1" si="14"/>
        <v>121</v>
      </c>
    </row>
    <row r="942" spans="74:74" x14ac:dyDescent="0.3">
      <c r="BV942" s="32">
        <f t="shared" ca="1" si="14"/>
        <v>121</v>
      </c>
    </row>
    <row r="943" spans="74:74" x14ac:dyDescent="0.3">
      <c r="BV943" s="32">
        <f t="shared" ca="1" si="14"/>
        <v>121</v>
      </c>
    </row>
    <row r="944" spans="74:74" x14ac:dyDescent="0.3">
      <c r="BV944" s="32">
        <f t="shared" ca="1" si="14"/>
        <v>121</v>
      </c>
    </row>
    <row r="945" spans="74:74" x14ac:dyDescent="0.3">
      <c r="BV945" s="32">
        <f t="shared" ca="1" si="14"/>
        <v>121</v>
      </c>
    </row>
    <row r="946" spans="74:74" x14ac:dyDescent="0.3">
      <c r="BV946" s="32">
        <f t="shared" ca="1" si="14"/>
        <v>121</v>
      </c>
    </row>
    <row r="947" spans="74:74" x14ac:dyDescent="0.3">
      <c r="BV947" s="32">
        <f t="shared" ca="1" si="14"/>
        <v>121</v>
      </c>
    </row>
    <row r="948" spans="74:74" x14ac:dyDescent="0.3">
      <c r="BV948" s="32">
        <f t="shared" ca="1" si="14"/>
        <v>121</v>
      </c>
    </row>
    <row r="949" spans="74:74" x14ac:dyDescent="0.3">
      <c r="BV949" s="32">
        <f t="shared" ca="1" si="14"/>
        <v>121</v>
      </c>
    </row>
    <row r="950" spans="74:74" x14ac:dyDescent="0.3">
      <c r="BV950" s="32">
        <f t="shared" ca="1" si="14"/>
        <v>121</v>
      </c>
    </row>
    <row r="951" spans="74:74" x14ac:dyDescent="0.3">
      <c r="BV951" s="32">
        <f t="shared" ca="1" si="14"/>
        <v>121</v>
      </c>
    </row>
    <row r="952" spans="74:74" x14ac:dyDescent="0.3">
      <c r="BV952" s="32">
        <f t="shared" ca="1" si="14"/>
        <v>121</v>
      </c>
    </row>
    <row r="953" spans="74:74" x14ac:dyDescent="0.3">
      <c r="BV953" s="32">
        <f t="shared" ca="1" si="14"/>
        <v>121</v>
      </c>
    </row>
    <row r="954" spans="74:74" x14ac:dyDescent="0.3">
      <c r="BV954" s="32">
        <f t="shared" ca="1" si="14"/>
        <v>121</v>
      </c>
    </row>
    <row r="955" spans="74:74" x14ac:dyDescent="0.3">
      <c r="BV955" s="32">
        <f t="shared" ca="1" si="14"/>
        <v>121</v>
      </c>
    </row>
    <row r="956" spans="74:74" x14ac:dyDescent="0.3">
      <c r="BV956" s="32">
        <f t="shared" ca="1" si="14"/>
        <v>121</v>
      </c>
    </row>
    <row r="957" spans="74:74" x14ac:dyDescent="0.3">
      <c r="BV957" s="32">
        <f t="shared" ca="1" si="14"/>
        <v>121</v>
      </c>
    </row>
    <row r="958" spans="74:74" x14ac:dyDescent="0.3">
      <c r="BV958" s="32">
        <f t="shared" ca="1" si="14"/>
        <v>121</v>
      </c>
    </row>
    <row r="959" spans="74:74" x14ac:dyDescent="0.3">
      <c r="BV959" s="32">
        <f t="shared" ca="1" si="14"/>
        <v>121</v>
      </c>
    </row>
    <row r="960" spans="74:74" x14ac:dyDescent="0.3">
      <c r="BV960" s="32">
        <f t="shared" ca="1" si="14"/>
        <v>121</v>
      </c>
    </row>
    <row r="961" spans="74:74" x14ac:dyDescent="0.3">
      <c r="BV961" s="32">
        <f t="shared" ca="1" si="14"/>
        <v>121</v>
      </c>
    </row>
    <row r="962" spans="74:74" x14ac:dyDescent="0.3">
      <c r="BV962" s="32">
        <f t="shared" ca="1" si="14"/>
        <v>121</v>
      </c>
    </row>
    <row r="963" spans="74:74" x14ac:dyDescent="0.3">
      <c r="BV963" s="32">
        <f t="shared" ca="1" si="14"/>
        <v>121</v>
      </c>
    </row>
    <row r="964" spans="74:74" x14ac:dyDescent="0.3">
      <c r="BV964" s="32">
        <f t="shared" ca="1" si="14"/>
        <v>121</v>
      </c>
    </row>
    <row r="965" spans="74:74" x14ac:dyDescent="0.3">
      <c r="BV965" s="32">
        <f t="shared" ca="1" si="14"/>
        <v>121</v>
      </c>
    </row>
    <row r="966" spans="74:74" x14ac:dyDescent="0.3">
      <c r="BV966" s="32">
        <f t="shared" ca="1" si="14"/>
        <v>121</v>
      </c>
    </row>
    <row r="967" spans="74:74" x14ac:dyDescent="0.3">
      <c r="BV967" s="32">
        <f t="shared" ca="1" si="14"/>
        <v>121</v>
      </c>
    </row>
    <row r="968" spans="74:74" x14ac:dyDescent="0.3">
      <c r="BV968" s="32">
        <f t="shared" ca="1" si="14"/>
        <v>121</v>
      </c>
    </row>
    <row r="969" spans="74:74" x14ac:dyDescent="0.3">
      <c r="BV969" s="32">
        <f t="shared" ca="1" si="14"/>
        <v>121</v>
      </c>
    </row>
    <row r="970" spans="74:74" x14ac:dyDescent="0.3">
      <c r="BV970" s="32">
        <f t="shared" ca="1" si="14"/>
        <v>121</v>
      </c>
    </row>
    <row r="971" spans="74:74" x14ac:dyDescent="0.3">
      <c r="BV971" s="32">
        <f t="shared" ca="1" si="14"/>
        <v>121</v>
      </c>
    </row>
    <row r="972" spans="74:74" x14ac:dyDescent="0.3">
      <c r="BV972" s="32">
        <f t="shared" ca="1" si="14"/>
        <v>121</v>
      </c>
    </row>
    <row r="973" spans="74:74" x14ac:dyDescent="0.3">
      <c r="BV973" s="32">
        <f t="shared" ref="BV973:BV1036" ca="1" si="15">INT((TODAY()-$I973)/365)</f>
        <v>121</v>
      </c>
    </row>
    <row r="974" spans="74:74" x14ac:dyDescent="0.3">
      <c r="BV974" s="32">
        <f t="shared" ca="1" si="15"/>
        <v>121</v>
      </c>
    </row>
    <row r="975" spans="74:74" x14ac:dyDescent="0.3">
      <c r="BV975" s="32">
        <f t="shared" ca="1" si="15"/>
        <v>121</v>
      </c>
    </row>
    <row r="976" spans="74:74" x14ac:dyDescent="0.3">
      <c r="BV976" s="32">
        <f t="shared" ca="1" si="15"/>
        <v>121</v>
      </c>
    </row>
    <row r="977" spans="74:74" x14ac:dyDescent="0.3">
      <c r="BV977" s="32">
        <f t="shared" ca="1" si="15"/>
        <v>121</v>
      </c>
    </row>
    <row r="978" spans="74:74" x14ac:dyDescent="0.3">
      <c r="BV978" s="32">
        <f t="shared" ca="1" si="15"/>
        <v>121</v>
      </c>
    </row>
    <row r="979" spans="74:74" x14ac:dyDescent="0.3">
      <c r="BV979" s="32">
        <f t="shared" ca="1" si="15"/>
        <v>121</v>
      </c>
    </row>
    <row r="980" spans="74:74" x14ac:dyDescent="0.3">
      <c r="BV980" s="32">
        <f t="shared" ca="1" si="15"/>
        <v>121</v>
      </c>
    </row>
    <row r="981" spans="74:74" x14ac:dyDescent="0.3">
      <c r="BV981" s="32">
        <f t="shared" ca="1" si="15"/>
        <v>121</v>
      </c>
    </row>
    <row r="982" spans="74:74" x14ac:dyDescent="0.3">
      <c r="BV982" s="32">
        <f t="shared" ca="1" si="15"/>
        <v>121</v>
      </c>
    </row>
    <row r="983" spans="74:74" x14ac:dyDescent="0.3">
      <c r="BV983" s="32">
        <f t="shared" ca="1" si="15"/>
        <v>121</v>
      </c>
    </row>
    <row r="984" spans="74:74" x14ac:dyDescent="0.3">
      <c r="BV984" s="32">
        <f t="shared" ca="1" si="15"/>
        <v>121</v>
      </c>
    </row>
    <row r="985" spans="74:74" x14ac:dyDescent="0.3">
      <c r="BV985" s="32">
        <f t="shared" ca="1" si="15"/>
        <v>121</v>
      </c>
    </row>
    <row r="986" spans="74:74" x14ac:dyDescent="0.3">
      <c r="BV986" s="32">
        <f t="shared" ca="1" si="15"/>
        <v>121</v>
      </c>
    </row>
    <row r="987" spans="74:74" x14ac:dyDescent="0.3">
      <c r="BV987" s="32">
        <f t="shared" ca="1" si="15"/>
        <v>121</v>
      </c>
    </row>
    <row r="988" spans="74:74" x14ac:dyDescent="0.3">
      <c r="BV988" s="32">
        <f t="shared" ca="1" si="15"/>
        <v>121</v>
      </c>
    </row>
    <row r="989" spans="74:74" x14ac:dyDescent="0.3">
      <c r="BV989" s="32">
        <f t="shared" ca="1" si="15"/>
        <v>121</v>
      </c>
    </row>
    <row r="990" spans="74:74" x14ac:dyDescent="0.3">
      <c r="BV990" s="32">
        <f t="shared" ca="1" si="15"/>
        <v>121</v>
      </c>
    </row>
    <row r="991" spans="74:74" x14ac:dyDescent="0.3">
      <c r="BV991" s="32">
        <f t="shared" ca="1" si="15"/>
        <v>121</v>
      </c>
    </row>
    <row r="992" spans="74:74" x14ac:dyDescent="0.3">
      <c r="BV992" s="32">
        <f t="shared" ca="1" si="15"/>
        <v>121</v>
      </c>
    </row>
    <row r="993" spans="74:74" x14ac:dyDescent="0.3">
      <c r="BV993" s="32">
        <f t="shared" ca="1" si="15"/>
        <v>121</v>
      </c>
    </row>
    <row r="994" spans="74:74" x14ac:dyDescent="0.3">
      <c r="BV994" s="32">
        <f t="shared" ca="1" si="15"/>
        <v>121</v>
      </c>
    </row>
    <row r="995" spans="74:74" x14ac:dyDescent="0.3">
      <c r="BV995" s="32">
        <f t="shared" ca="1" si="15"/>
        <v>121</v>
      </c>
    </row>
    <row r="996" spans="74:74" x14ac:dyDescent="0.3">
      <c r="BV996" s="32">
        <f t="shared" ca="1" si="15"/>
        <v>121</v>
      </c>
    </row>
    <row r="997" spans="74:74" x14ac:dyDescent="0.3">
      <c r="BV997" s="32">
        <f t="shared" ca="1" si="15"/>
        <v>121</v>
      </c>
    </row>
    <row r="998" spans="74:74" x14ac:dyDescent="0.3">
      <c r="BV998" s="32">
        <f t="shared" ca="1" si="15"/>
        <v>121</v>
      </c>
    </row>
    <row r="999" spans="74:74" x14ac:dyDescent="0.3">
      <c r="BV999" s="32">
        <f t="shared" ca="1" si="15"/>
        <v>121</v>
      </c>
    </row>
    <row r="1000" spans="74:74" x14ac:dyDescent="0.3">
      <c r="BV1000" s="32">
        <f t="shared" ca="1" si="15"/>
        <v>121</v>
      </c>
    </row>
    <row r="1001" spans="74:74" x14ac:dyDescent="0.3">
      <c r="BV1001" s="32">
        <f t="shared" ca="1" si="15"/>
        <v>121</v>
      </c>
    </row>
    <row r="1002" spans="74:74" x14ac:dyDescent="0.3">
      <c r="BV1002" s="32">
        <f t="shared" ca="1" si="15"/>
        <v>121</v>
      </c>
    </row>
    <row r="1003" spans="74:74" x14ac:dyDescent="0.3">
      <c r="BV1003" s="32">
        <f t="shared" ca="1" si="15"/>
        <v>121</v>
      </c>
    </row>
    <row r="1004" spans="74:74" x14ac:dyDescent="0.3">
      <c r="BV1004" s="32">
        <f t="shared" ca="1" si="15"/>
        <v>121</v>
      </c>
    </row>
    <row r="1005" spans="74:74" x14ac:dyDescent="0.3">
      <c r="BV1005" s="32">
        <f t="shared" ca="1" si="15"/>
        <v>121</v>
      </c>
    </row>
    <row r="1006" spans="74:74" x14ac:dyDescent="0.3">
      <c r="BV1006" s="32">
        <f t="shared" ca="1" si="15"/>
        <v>121</v>
      </c>
    </row>
    <row r="1007" spans="74:74" x14ac:dyDescent="0.3">
      <c r="BV1007" s="32">
        <f t="shared" ca="1" si="15"/>
        <v>121</v>
      </c>
    </row>
    <row r="1008" spans="74:74" x14ac:dyDescent="0.3">
      <c r="BV1008" s="32">
        <f t="shared" ca="1" si="15"/>
        <v>121</v>
      </c>
    </row>
    <row r="1009" spans="74:74" x14ac:dyDescent="0.3">
      <c r="BV1009" s="32">
        <f t="shared" ca="1" si="15"/>
        <v>121</v>
      </c>
    </row>
    <row r="1010" spans="74:74" x14ac:dyDescent="0.3">
      <c r="BV1010" s="32">
        <f t="shared" ca="1" si="15"/>
        <v>121</v>
      </c>
    </row>
    <row r="1011" spans="74:74" x14ac:dyDescent="0.3">
      <c r="BV1011" s="32">
        <f t="shared" ca="1" si="15"/>
        <v>121</v>
      </c>
    </row>
    <row r="1012" spans="74:74" x14ac:dyDescent="0.3">
      <c r="BV1012" s="32">
        <f t="shared" ca="1" si="15"/>
        <v>121</v>
      </c>
    </row>
    <row r="1013" spans="74:74" x14ac:dyDescent="0.3">
      <c r="BV1013" s="32">
        <f t="shared" ca="1" si="15"/>
        <v>121</v>
      </c>
    </row>
    <row r="1014" spans="74:74" x14ac:dyDescent="0.3">
      <c r="BV1014" s="32">
        <f t="shared" ca="1" si="15"/>
        <v>121</v>
      </c>
    </row>
    <row r="1015" spans="74:74" x14ac:dyDescent="0.3">
      <c r="BV1015" s="32">
        <f t="shared" ca="1" si="15"/>
        <v>121</v>
      </c>
    </row>
    <row r="1016" spans="74:74" x14ac:dyDescent="0.3">
      <c r="BV1016" s="32">
        <f t="shared" ca="1" si="15"/>
        <v>121</v>
      </c>
    </row>
    <row r="1017" spans="74:74" x14ac:dyDescent="0.3">
      <c r="BV1017" s="32">
        <f t="shared" ca="1" si="15"/>
        <v>121</v>
      </c>
    </row>
    <row r="1018" spans="74:74" x14ac:dyDescent="0.3">
      <c r="BV1018" s="32">
        <f t="shared" ca="1" si="15"/>
        <v>121</v>
      </c>
    </row>
    <row r="1019" spans="74:74" x14ac:dyDescent="0.3">
      <c r="BV1019" s="32">
        <f t="shared" ca="1" si="15"/>
        <v>121</v>
      </c>
    </row>
    <row r="1020" spans="74:74" x14ac:dyDescent="0.3">
      <c r="BV1020" s="32">
        <f t="shared" ca="1" si="15"/>
        <v>121</v>
      </c>
    </row>
    <row r="1021" spans="74:74" x14ac:dyDescent="0.3">
      <c r="BV1021" s="32">
        <f t="shared" ca="1" si="15"/>
        <v>121</v>
      </c>
    </row>
    <row r="1022" spans="74:74" x14ac:dyDescent="0.3">
      <c r="BV1022" s="32">
        <f t="shared" ca="1" si="15"/>
        <v>121</v>
      </c>
    </row>
    <row r="1023" spans="74:74" x14ac:dyDescent="0.3">
      <c r="BV1023" s="32">
        <f t="shared" ca="1" si="15"/>
        <v>121</v>
      </c>
    </row>
    <row r="1024" spans="74:74" x14ac:dyDescent="0.3">
      <c r="BV1024" s="32">
        <f t="shared" ca="1" si="15"/>
        <v>121</v>
      </c>
    </row>
    <row r="1025" spans="74:74" x14ac:dyDescent="0.3">
      <c r="BV1025" s="32">
        <f t="shared" ca="1" si="15"/>
        <v>121</v>
      </c>
    </row>
    <row r="1026" spans="74:74" x14ac:dyDescent="0.3">
      <c r="BV1026" s="32">
        <f t="shared" ca="1" si="15"/>
        <v>121</v>
      </c>
    </row>
    <row r="1027" spans="74:74" x14ac:dyDescent="0.3">
      <c r="BV1027" s="32">
        <f t="shared" ca="1" si="15"/>
        <v>121</v>
      </c>
    </row>
    <row r="1028" spans="74:74" x14ac:dyDescent="0.3">
      <c r="BV1028" s="32">
        <f t="shared" ca="1" si="15"/>
        <v>121</v>
      </c>
    </row>
    <row r="1029" spans="74:74" x14ac:dyDescent="0.3">
      <c r="BV1029" s="32">
        <f t="shared" ca="1" si="15"/>
        <v>121</v>
      </c>
    </row>
    <row r="1030" spans="74:74" x14ac:dyDescent="0.3">
      <c r="BV1030" s="32">
        <f t="shared" ca="1" si="15"/>
        <v>121</v>
      </c>
    </row>
    <row r="1031" spans="74:74" x14ac:dyDescent="0.3">
      <c r="BV1031" s="32">
        <f t="shared" ca="1" si="15"/>
        <v>121</v>
      </c>
    </row>
    <row r="1032" spans="74:74" x14ac:dyDescent="0.3">
      <c r="BV1032" s="32">
        <f t="shared" ca="1" si="15"/>
        <v>121</v>
      </c>
    </row>
    <row r="1033" spans="74:74" x14ac:dyDescent="0.3">
      <c r="BV1033" s="32">
        <f t="shared" ca="1" si="15"/>
        <v>121</v>
      </c>
    </row>
    <row r="1034" spans="74:74" x14ac:dyDescent="0.3">
      <c r="BV1034" s="32">
        <f t="shared" ca="1" si="15"/>
        <v>121</v>
      </c>
    </row>
    <row r="1035" spans="74:74" x14ac:dyDescent="0.3">
      <c r="BV1035" s="32">
        <f t="shared" ca="1" si="15"/>
        <v>121</v>
      </c>
    </row>
    <row r="1036" spans="74:74" x14ac:dyDescent="0.3">
      <c r="BV1036" s="32">
        <f t="shared" ca="1" si="15"/>
        <v>121</v>
      </c>
    </row>
    <row r="1037" spans="74:74" x14ac:dyDescent="0.3">
      <c r="BV1037" s="32">
        <f t="shared" ref="BV1037:BV1100" ca="1" si="16">INT((TODAY()-$I1037)/365)</f>
        <v>121</v>
      </c>
    </row>
    <row r="1038" spans="74:74" x14ac:dyDescent="0.3">
      <c r="BV1038" s="32">
        <f t="shared" ca="1" si="16"/>
        <v>121</v>
      </c>
    </row>
    <row r="1039" spans="74:74" x14ac:dyDescent="0.3">
      <c r="BV1039" s="32">
        <f t="shared" ca="1" si="16"/>
        <v>121</v>
      </c>
    </row>
    <row r="1040" spans="74:74" x14ac:dyDescent="0.3">
      <c r="BV1040" s="32">
        <f t="shared" ca="1" si="16"/>
        <v>121</v>
      </c>
    </row>
    <row r="1041" spans="74:74" x14ac:dyDescent="0.3">
      <c r="BV1041" s="32">
        <f t="shared" ca="1" si="16"/>
        <v>121</v>
      </c>
    </row>
    <row r="1042" spans="74:74" x14ac:dyDescent="0.3">
      <c r="BV1042" s="32">
        <f t="shared" ca="1" si="16"/>
        <v>121</v>
      </c>
    </row>
    <row r="1043" spans="74:74" x14ac:dyDescent="0.3">
      <c r="BV1043" s="32">
        <f t="shared" ca="1" si="16"/>
        <v>121</v>
      </c>
    </row>
    <row r="1044" spans="74:74" x14ac:dyDescent="0.3">
      <c r="BV1044" s="32">
        <f t="shared" ca="1" si="16"/>
        <v>121</v>
      </c>
    </row>
    <row r="1045" spans="74:74" x14ac:dyDescent="0.3">
      <c r="BV1045" s="32">
        <f t="shared" ca="1" si="16"/>
        <v>121</v>
      </c>
    </row>
    <row r="1046" spans="74:74" x14ac:dyDescent="0.3">
      <c r="BV1046" s="32">
        <f t="shared" ca="1" si="16"/>
        <v>121</v>
      </c>
    </row>
    <row r="1047" spans="74:74" x14ac:dyDescent="0.3">
      <c r="BV1047" s="32">
        <f t="shared" ca="1" si="16"/>
        <v>121</v>
      </c>
    </row>
    <row r="1048" spans="74:74" x14ac:dyDescent="0.3">
      <c r="BV1048" s="32">
        <f t="shared" ca="1" si="16"/>
        <v>121</v>
      </c>
    </row>
    <row r="1049" spans="74:74" x14ac:dyDescent="0.3">
      <c r="BV1049" s="32">
        <f t="shared" ca="1" si="16"/>
        <v>121</v>
      </c>
    </row>
    <row r="1050" spans="74:74" x14ac:dyDescent="0.3">
      <c r="BV1050" s="32">
        <f t="shared" ca="1" si="16"/>
        <v>121</v>
      </c>
    </row>
    <row r="1051" spans="74:74" x14ac:dyDescent="0.3">
      <c r="BV1051" s="32">
        <f t="shared" ca="1" si="16"/>
        <v>121</v>
      </c>
    </row>
    <row r="1052" spans="74:74" x14ac:dyDescent="0.3">
      <c r="BV1052" s="32">
        <f t="shared" ca="1" si="16"/>
        <v>121</v>
      </c>
    </row>
    <row r="1053" spans="74:74" x14ac:dyDescent="0.3">
      <c r="BV1053" s="32">
        <f t="shared" ca="1" si="16"/>
        <v>121</v>
      </c>
    </row>
    <row r="1054" spans="74:74" x14ac:dyDescent="0.3">
      <c r="BV1054" s="32">
        <f t="shared" ca="1" si="16"/>
        <v>121</v>
      </c>
    </row>
    <row r="1055" spans="74:74" x14ac:dyDescent="0.3">
      <c r="BV1055" s="32">
        <f t="shared" ca="1" si="16"/>
        <v>121</v>
      </c>
    </row>
    <row r="1056" spans="74:74" x14ac:dyDescent="0.3">
      <c r="BV1056" s="32">
        <f t="shared" ca="1" si="16"/>
        <v>121</v>
      </c>
    </row>
    <row r="1057" spans="74:74" x14ac:dyDescent="0.3">
      <c r="BV1057" s="32">
        <f t="shared" ca="1" si="16"/>
        <v>121</v>
      </c>
    </row>
    <row r="1058" spans="74:74" x14ac:dyDescent="0.3">
      <c r="BV1058" s="32">
        <f t="shared" ca="1" si="16"/>
        <v>121</v>
      </c>
    </row>
    <row r="1059" spans="74:74" x14ac:dyDescent="0.3">
      <c r="BV1059" s="32">
        <f t="shared" ca="1" si="16"/>
        <v>121</v>
      </c>
    </row>
    <row r="1060" spans="74:74" x14ac:dyDescent="0.3">
      <c r="BV1060" s="32">
        <f t="shared" ca="1" si="16"/>
        <v>121</v>
      </c>
    </row>
    <row r="1061" spans="74:74" x14ac:dyDescent="0.3">
      <c r="BV1061" s="32">
        <f t="shared" ca="1" si="16"/>
        <v>121</v>
      </c>
    </row>
    <row r="1062" spans="74:74" x14ac:dyDescent="0.3">
      <c r="BV1062" s="32">
        <f t="shared" ca="1" si="16"/>
        <v>121</v>
      </c>
    </row>
    <row r="1063" spans="74:74" x14ac:dyDescent="0.3">
      <c r="BV1063" s="32">
        <f t="shared" ca="1" si="16"/>
        <v>121</v>
      </c>
    </row>
    <row r="1064" spans="74:74" x14ac:dyDescent="0.3">
      <c r="BV1064" s="32">
        <f t="shared" ca="1" si="16"/>
        <v>121</v>
      </c>
    </row>
    <row r="1065" spans="74:74" x14ac:dyDescent="0.3">
      <c r="BV1065" s="32">
        <f t="shared" ca="1" si="16"/>
        <v>121</v>
      </c>
    </row>
    <row r="1066" spans="74:74" x14ac:dyDescent="0.3">
      <c r="BV1066" s="32">
        <f t="shared" ca="1" si="16"/>
        <v>121</v>
      </c>
    </row>
    <row r="1067" spans="74:74" x14ac:dyDescent="0.3">
      <c r="BV1067" s="32">
        <f t="shared" ca="1" si="16"/>
        <v>121</v>
      </c>
    </row>
    <row r="1068" spans="74:74" x14ac:dyDescent="0.3">
      <c r="BV1068" s="32">
        <f t="shared" ca="1" si="16"/>
        <v>121</v>
      </c>
    </row>
    <row r="1069" spans="74:74" x14ac:dyDescent="0.3">
      <c r="BV1069" s="32">
        <f t="shared" ca="1" si="16"/>
        <v>121</v>
      </c>
    </row>
    <row r="1070" spans="74:74" x14ac:dyDescent="0.3">
      <c r="BV1070" s="32">
        <f t="shared" ca="1" si="16"/>
        <v>121</v>
      </c>
    </row>
    <row r="1071" spans="74:74" x14ac:dyDescent="0.3">
      <c r="BV1071" s="32">
        <f t="shared" ca="1" si="16"/>
        <v>121</v>
      </c>
    </row>
    <row r="1072" spans="74:74" x14ac:dyDescent="0.3">
      <c r="BV1072" s="32">
        <f t="shared" ca="1" si="16"/>
        <v>121</v>
      </c>
    </row>
    <row r="1073" spans="74:74" x14ac:dyDescent="0.3">
      <c r="BV1073" s="32">
        <f t="shared" ca="1" si="16"/>
        <v>121</v>
      </c>
    </row>
    <row r="1074" spans="74:74" x14ac:dyDescent="0.3">
      <c r="BV1074" s="32">
        <f t="shared" ca="1" si="16"/>
        <v>121</v>
      </c>
    </row>
    <row r="1075" spans="74:74" x14ac:dyDescent="0.3">
      <c r="BV1075" s="32">
        <f t="shared" ca="1" si="16"/>
        <v>121</v>
      </c>
    </row>
    <row r="1076" spans="74:74" x14ac:dyDescent="0.3">
      <c r="BV1076" s="32">
        <f t="shared" ca="1" si="16"/>
        <v>121</v>
      </c>
    </row>
    <row r="1077" spans="74:74" x14ac:dyDescent="0.3">
      <c r="BV1077" s="32">
        <f t="shared" ca="1" si="16"/>
        <v>121</v>
      </c>
    </row>
    <row r="1078" spans="74:74" x14ac:dyDescent="0.3">
      <c r="BV1078" s="32">
        <f t="shared" ca="1" si="16"/>
        <v>121</v>
      </c>
    </row>
    <row r="1079" spans="74:74" x14ac:dyDescent="0.3">
      <c r="BV1079" s="32">
        <f t="shared" ca="1" si="16"/>
        <v>121</v>
      </c>
    </row>
    <row r="1080" spans="74:74" x14ac:dyDescent="0.3">
      <c r="BV1080" s="32">
        <f t="shared" ca="1" si="16"/>
        <v>121</v>
      </c>
    </row>
    <row r="1081" spans="74:74" x14ac:dyDescent="0.3">
      <c r="BV1081" s="32">
        <f t="shared" ca="1" si="16"/>
        <v>121</v>
      </c>
    </row>
    <row r="1082" spans="74:74" x14ac:dyDescent="0.3">
      <c r="BV1082" s="32">
        <f t="shared" ca="1" si="16"/>
        <v>121</v>
      </c>
    </row>
    <row r="1083" spans="74:74" x14ac:dyDescent="0.3">
      <c r="BV1083" s="32">
        <f t="shared" ca="1" si="16"/>
        <v>121</v>
      </c>
    </row>
    <row r="1084" spans="74:74" x14ac:dyDescent="0.3">
      <c r="BV1084" s="32">
        <f t="shared" ca="1" si="16"/>
        <v>121</v>
      </c>
    </row>
    <row r="1085" spans="74:74" x14ac:dyDescent="0.3">
      <c r="BV1085" s="32">
        <f t="shared" ca="1" si="16"/>
        <v>121</v>
      </c>
    </row>
    <row r="1086" spans="74:74" x14ac:dyDescent="0.3">
      <c r="BV1086" s="32">
        <f t="shared" ca="1" si="16"/>
        <v>121</v>
      </c>
    </row>
    <row r="1087" spans="74:74" x14ac:dyDescent="0.3">
      <c r="BV1087" s="32">
        <f t="shared" ca="1" si="16"/>
        <v>121</v>
      </c>
    </row>
    <row r="1088" spans="74:74" x14ac:dyDescent="0.3">
      <c r="BV1088" s="32">
        <f t="shared" ca="1" si="16"/>
        <v>121</v>
      </c>
    </row>
    <row r="1089" spans="74:74" x14ac:dyDescent="0.3">
      <c r="BV1089" s="32">
        <f t="shared" ca="1" si="16"/>
        <v>121</v>
      </c>
    </row>
    <row r="1090" spans="74:74" x14ac:dyDescent="0.3">
      <c r="BV1090" s="32">
        <f t="shared" ca="1" si="16"/>
        <v>121</v>
      </c>
    </row>
    <row r="1091" spans="74:74" x14ac:dyDescent="0.3">
      <c r="BV1091" s="32">
        <f t="shared" ca="1" si="16"/>
        <v>121</v>
      </c>
    </row>
    <row r="1092" spans="74:74" x14ac:dyDescent="0.3">
      <c r="BV1092" s="32">
        <f t="shared" ca="1" si="16"/>
        <v>121</v>
      </c>
    </row>
    <row r="1093" spans="74:74" x14ac:dyDescent="0.3">
      <c r="BV1093" s="32">
        <f t="shared" ca="1" si="16"/>
        <v>121</v>
      </c>
    </row>
    <row r="1094" spans="74:74" x14ac:dyDescent="0.3">
      <c r="BV1094" s="32">
        <f t="shared" ca="1" si="16"/>
        <v>121</v>
      </c>
    </row>
    <row r="1095" spans="74:74" x14ac:dyDescent="0.3">
      <c r="BV1095" s="32">
        <f t="shared" ca="1" si="16"/>
        <v>121</v>
      </c>
    </row>
    <row r="1096" spans="74:74" x14ac:dyDescent="0.3">
      <c r="BV1096" s="32">
        <f t="shared" ca="1" si="16"/>
        <v>121</v>
      </c>
    </row>
    <row r="1097" spans="74:74" x14ac:dyDescent="0.3">
      <c r="BV1097" s="32">
        <f t="shared" ca="1" si="16"/>
        <v>121</v>
      </c>
    </row>
    <row r="1098" spans="74:74" x14ac:dyDescent="0.3">
      <c r="BV1098" s="32">
        <f t="shared" ca="1" si="16"/>
        <v>121</v>
      </c>
    </row>
    <row r="1099" spans="74:74" x14ac:dyDescent="0.3">
      <c r="BV1099" s="32">
        <f t="shared" ca="1" si="16"/>
        <v>121</v>
      </c>
    </row>
    <row r="1100" spans="74:74" x14ac:dyDescent="0.3">
      <c r="BV1100" s="32">
        <f t="shared" ca="1" si="16"/>
        <v>121</v>
      </c>
    </row>
    <row r="1101" spans="74:74" x14ac:dyDescent="0.3">
      <c r="BV1101" s="32">
        <f t="shared" ref="BV1101:BV1164" ca="1" si="17">INT((TODAY()-$I1101)/365)</f>
        <v>121</v>
      </c>
    </row>
    <row r="1102" spans="74:74" x14ac:dyDescent="0.3">
      <c r="BV1102" s="32">
        <f t="shared" ca="1" si="17"/>
        <v>121</v>
      </c>
    </row>
    <row r="1103" spans="74:74" x14ac:dyDescent="0.3">
      <c r="BV1103" s="32">
        <f t="shared" ca="1" si="17"/>
        <v>121</v>
      </c>
    </row>
    <row r="1104" spans="74:74" x14ac:dyDescent="0.3">
      <c r="BV1104" s="32">
        <f t="shared" ca="1" si="17"/>
        <v>121</v>
      </c>
    </row>
    <row r="1105" spans="74:74" x14ac:dyDescent="0.3">
      <c r="BV1105" s="32">
        <f t="shared" ca="1" si="17"/>
        <v>121</v>
      </c>
    </row>
    <row r="1106" spans="74:74" x14ac:dyDescent="0.3">
      <c r="BV1106" s="32">
        <f t="shared" ca="1" si="17"/>
        <v>121</v>
      </c>
    </row>
    <row r="1107" spans="74:74" x14ac:dyDescent="0.3">
      <c r="BV1107" s="32">
        <f t="shared" ca="1" si="17"/>
        <v>121</v>
      </c>
    </row>
    <row r="1108" spans="74:74" x14ac:dyDescent="0.3">
      <c r="BV1108" s="32">
        <f t="shared" ca="1" si="17"/>
        <v>121</v>
      </c>
    </row>
    <row r="1109" spans="74:74" x14ac:dyDescent="0.3">
      <c r="BV1109" s="32">
        <f t="shared" ca="1" si="17"/>
        <v>121</v>
      </c>
    </row>
    <row r="1110" spans="74:74" x14ac:dyDescent="0.3">
      <c r="BV1110" s="32">
        <f t="shared" ca="1" si="17"/>
        <v>121</v>
      </c>
    </row>
    <row r="1111" spans="74:74" x14ac:dyDescent="0.3">
      <c r="BV1111" s="32">
        <f t="shared" ca="1" si="17"/>
        <v>121</v>
      </c>
    </row>
    <row r="1112" spans="74:74" x14ac:dyDescent="0.3">
      <c r="BV1112" s="32">
        <f t="shared" ca="1" si="17"/>
        <v>121</v>
      </c>
    </row>
    <row r="1113" spans="74:74" x14ac:dyDescent="0.3">
      <c r="BV1113" s="32">
        <f t="shared" ca="1" si="17"/>
        <v>121</v>
      </c>
    </row>
    <row r="1114" spans="74:74" x14ac:dyDescent="0.3">
      <c r="BV1114" s="32">
        <f t="shared" ca="1" si="17"/>
        <v>121</v>
      </c>
    </row>
    <row r="1115" spans="74:74" x14ac:dyDescent="0.3">
      <c r="BV1115" s="32">
        <f t="shared" ca="1" si="17"/>
        <v>121</v>
      </c>
    </row>
    <row r="1116" spans="74:74" x14ac:dyDescent="0.3">
      <c r="BV1116" s="32">
        <f t="shared" ca="1" si="17"/>
        <v>121</v>
      </c>
    </row>
    <row r="1117" spans="74:74" x14ac:dyDescent="0.3">
      <c r="BV1117" s="32">
        <f t="shared" ca="1" si="17"/>
        <v>121</v>
      </c>
    </row>
    <row r="1118" spans="74:74" x14ac:dyDescent="0.3">
      <c r="BV1118" s="32">
        <f t="shared" ca="1" si="17"/>
        <v>121</v>
      </c>
    </row>
    <row r="1119" spans="74:74" x14ac:dyDescent="0.3">
      <c r="BV1119" s="32">
        <f t="shared" ca="1" si="17"/>
        <v>121</v>
      </c>
    </row>
    <row r="1120" spans="74:74" x14ac:dyDescent="0.3">
      <c r="BV1120" s="32">
        <f t="shared" ca="1" si="17"/>
        <v>121</v>
      </c>
    </row>
    <row r="1121" spans="74:74" x14ac:dyDescent="0.3">
      <c r="BV1121" s="32">
        <f t="shared" ca="1" si="17"/>
        <v>121</v>
      </c>
    </row>
    <row r="1122" spans="74:74" x14ac:dyDescent="0.3">
      <c r="BV1122" s="32">
        <f t="shared" ca="1" si="17"/>
        <v>121</v>
      </c>
    </row>
    <row r="1123" spans="74:74" x14ac:dyDescent="0.3">
      <c r="BV1123" s="32">
        <f t="shared" ca="1" si="17"/>
        <v>121</v>
      </c>
    </row>
    <row r="1124" spans="74:74" x14ac:dyDescent="0.3">
      <c r="BV1124" s="32">
        <f t="shared" ca="1" si="17"/>
        <v>121</v>
      </c>
    </row>
    <row r="1125" spans="74:74" x14ac:dyDescent="0.3">
      <c r="BV1125" s="32">
        <f t="shared" ca="1" si="17"/>
        <v>121</v>
      </c>
    </row>
    <row r="1126" spans="74:74" x14ac:dyDescent="0.3">
      <c r="BV1126" s="32">
        <f t="shared" ca="1" si="17"/>
        <v>121</v>
      </c>
    </row>
    <row r="1127" spans="74:74" x14ac:dyDescent="0.3">
      <c r="BV1127" s="32">
        <f t="shared" ca="1" si="17"/>
        <v>121</v>
      </c>
    </row>
    <row r="1128" spans="74:74" x14ac:dyDescent="0.3">
      <c r="BV1128" s="32">
        <f t="shared" ca="1" si="17"/>
        <v>121</v>
      </c>
    </row>
    <row r="1129" spans="74:74" x14ac:dyDescent="0.3">
      <c r="BV1129" s="32">
        <f t="shared" ca="1" si="17"/>
        <v>121</v>
      </c>
    </row>
    <row r="1130" spans="74:74" x14ac:dyDescent="0.3">
      <c r="BV1130" s="32">
        <f t="shared" ca="1" si="17"/>
        <v>121</v>
      </c>
    </row>
    <row r="1131" spans="74:74" x14ac:dyDescent="0.3">
      <c r="BV1131" s="32">
        <f t="shared" ca="1" si="17"/>
        <v>121</v>
      </c>
    </row>
    <row r="1132" spans="74:74" x14ac:dyDescent="0.3">
      <c r="BV1132" s="32">
        <f t="shared" ca="1" si="17"/>
        <v>121</v>
      </c>
    </row>
    <row r="1133" spans="74:74" x14ac:dyDescent="0.3">
      <c r="BV1133" s="32">
        <f t="shared" ca="1" si="17"/>
        <v>121</v>
      </c>
    </row>
    <row r="1134" spans="74:74" x14ac:dyDescent="0.3">
      <c r="BV1134" s="32">
        <f t="shared" ca="1" si="17"/>
        <v>121</v>
      </c>
    </row>
    <row r="1135" spans="74:74" x14ac:dyDescent="0.3">
      <c r="BV1135" s="32">
        <f t="shared" ca="1" si="17"/>
        <v>121</v>
      </c>
    </row>
    <row r="1136" spans="74:74" x14ac:dyDescent="0.3">
      <c r="BV1136" s="32">
        <f t="shared" ca="1" si="17"/>
        <v>121</v>
      </c>
    </row>
    <row r="1137" spans="74:74" x14ac:dyDescent="0.3">
      <c r="BV1137" s="32">
        <f t="shared" ca="1" si="17"/>
        <v>121</v>
      </c>
    </row>
    <row r="1138" spans="74:74" x14ac:dyDescent="0.3">
      <c r="BV1138" s="32">
        <f t="shared" ca="1" si="17"/>
        <v>121</v>
      </c>
    </row>
    <row r="1139" spans="74:74" x14ac:dyDescent="0.3">
      <c r="BV1139" s="32">
        <f t="shared" ca="1" si="17"/>
        <v>121</v>
      </c>
    </row>
    <row r="1140" spans="74:74" x14ac:dyDescent="0.3">
      <c r="BV1140" s="32">
        <f t="shared" ca="1" si="17"/>
        <v>121</v>
      </c>
    </row>
    <row r="1141" spans="74:74" x14ac:dyDescent="0.3">
      <c r="BV1141" s="32">
        <f t="shared" ca="1" si="17"/>
        <v>121</v>
      </c>
    </row>
    <row r="1142" spans="74:74" x14ac:dyDescent="0.3">
      <c r="BV1142" s="32">
        <f t="shared" ca="1" si="17"/>
        <v>121</v>
      </c>
    </row>
    <row r="1143" spans="74:74" x14ac:dyDescent="0.3">
      <c r="BV1143" s="32">
        <f t="shared" ca="1" si="17"/>
        <v>121</v>
      </c>
    </row>
    <row r="1144" spans="74:74" x14ac:dyDescent="0.3">
      <c r="BV1144" s="32">
        <f t="shared" ca="1" si="17"/>
        <v>121</v>
      </c>
    </row>
    <row r="1145" spans="74:74" x14ac:dyDescent="0.3">
      <c r="BV1145" s="32">
        <f t="shared" ca="1" si="17"/>
        <v>121</v>
      </c>
    </row>
    <row r="1146" spans="74:74" x14ac:dyDescent="0.3">
      <c r="BV1146" s="32">
        <f t="shared" ca="1" si="17"/>
        <v>121</v>
      </c>
    </row>
    <row r="1147" spans="74:74" x14ac:dyDescent="0.3">
      <c r="BV1147" s="32">
        <f t="shared" ca="1" si="17"/>
        <v>121</v>
      </c>
    </row>
    <row r="1148" spans="74:74" x14ac:dyDescent="0.3">
      <c r="BV1148" s="32">
        <f t="shared" ca="1" si="17"/>
        <v>121</v>
      </c>
    </row>
    <row r="1149" spans="74:74" x14ac:dyDescent="0.3">
      <c r="BV1149" s="32">
        <f t="shared" ca="1" si="17"/>
        <v>121</v>
      </c>
    </row>
    <row r="1150" spans="74:74" x14ac:dyDescent="0.3">
      <c r="BV1150" s="32">
        <f t="shared" ca="1" si="17"/>
        <v>121</v>
      </c>
    </row>
    <row r="1151" spans="74:74" x14ac:dyDescent="0.3">
      <c r="BV1151" s="32">
        <f t="shared" ca="1" si="17"/>
        <v>121</v>
      </c>
    </row>
    <row r="1152" spans="74:74" x14ac:dyDescent="0.3">
      <c r="BV1152" s="32">
        <f t="shared" ca="1" si="17"/>
        <v>121</v>
      </c>
    </row>
    <row r="1153" spans="74:74" x14ac:dyDescent="0.3">
      <c r="BV1153" s="32">
        <f t="shared" ca="1" si="17"/>
        <v>121</v>
      </c>
    </row>
    <row r="1154" spans="74:74" x14ac:dyDescent="0.3">
      <c r="BV1154" s="32">
        <f t="shared" ca="1" si="17"/>
        <v>121</v>
      </c>
    </row>
    <row r="1155" spans="74:74" x14ac:dyDescent="0.3">
      <c r="BV1155" s="32">
        <f t="shared" ca="1" si="17"/>
        <v>121</v>
      </c>
    </row>
    <row r="1156" spans="74:74" x14ac:dyDescent="0.3">
      <c r="BV1156" s="32">
        <f t="shared" ca="1" si="17"/>
        <v>121</v>
      </c>
    </row>
    <row r="1157" spans="74:74" x14ac:dyDescent="0.3">
      <c r="BV1157" s="32">
        <f t="shared" ca="1" si="17"/>
        <v>121</v>
      </c>
    </row>
    <row r="1158" spans="74:74" x14ac:dyDescent="0.3">
      <c r="BV1158" s="32">
        <f t="shared" ca="1" si="17"/>
        <v>121</v>
      </c>
    </row>
    <row r="1159" spans="74:74" x14ac:dyDescent="0.3">
      <c r="BV1159" s="32">
        <f t="shared" ca="1" si="17"/>
        <v>121</v>
      </c>
    </row>
    <row r="1160" spans="74:74" x14ac:dyDescent="0.3">
      <c r="BV1160" s="32">
        <f t="shared" ca="1" si="17"/>
        <v>121</v>
      </c>
    </row>
    <row r="1161" spans="74:74" x14ac:dyDescent="0.3">
      <c r="BV1161" s="32">
        <f t="shared" ca="1" si="17"/>
        <v>121</v>
      </c>
    </row>
    <row r="1162" spans="74:74" x14ac:dyDescent="0.3">
      <c r="BV1162" s="32">
        <f t="shared" ca="1" si="17"/>
        <v>121</v>
      </c>
    </row>
    <row r="1163" spans="74:74" x14ac:dyDescent="0.3">
      <c r="BV1163" s="32">
        <f t="shared" ca="1" si="17"/>
        <v>121</v>
      </c>
    </row>
    <row r="1164" spans="74:74" x14ac:dyDescent="0.3">
      <c r="BV1164" s="32">
        <f t="shared" ca="1" si="17"/>
        <v>121</v>
      </c>
    </row>
    <row r="1165" spans="74:74" x14ac:dyDescent="0.3">
      <c r="BV1165" s="32">
        <f t="shared" ref="BV1165:BV1228" ca="1" si="18">INT((TODAY()-$I1165)/365)</f>
        <v>121</v>
      </c>
    </row>
    <row r="1166" spans="74:74" x14ac:dyDescent="0.3">
      <c r="BV1166" s="32">
        <f t="shared" ca="1" si="18"/>
        <v>121</v>
      </c>
    </row>
    <row r="1167" spans="74:74" x14ac:dyDescent="0.3">
      <c r="BV1167" s="32">
        <f t="shared" ca="1" si="18"/>
        <v>121</v>
      </c>
    </row>
    <row r="1168" spans="74:74" x14ac:dyDescent="0.3">
      <c r="BV1168" s="32">
        <f t="shared" ca="1" si="18"/>
        <v>121</v>
      </c>
    </row>
    <row r="1169" spans="74:74" x14ac:dyDescent="0.3">
      <c r="BV1169" s="32">
        <f t="shared" ca="1" si="18"/>
        <v>121</v>
      </c>
    </row>
    <row r="1170" spans="74:74" x14ac:dyDescent="0.3">
      <c r="BV1170" s="32">
        <f t="shared" ca="1" si="18"/>
        <v>121</v>
      </c>
    </row>
    <row r="1171" spans="74:74" x14ac:dyDescent="0.3">
      <c r="BV1171" s="32">
        <f t="shared" ca="1" si="18"/>
        <v>121</v>
      </c>
    </row>
    <row r="1172" spans="74:74" x14ac:dyDescent="0.3">
      <c r="BV1172" s="32">
        <f t="shared" ca="1" si="18"/>
        <v>121</v>
      </c>
    </row>
    <row r="1173" spans="74:74" x14ac:dyDescent="0.3">
      <c r="BV1173" s="32">
        <f t="shared" ca="1" si="18"/>
        <v>121</v>
      </c>
    </row>
    <row r="1174" spans="74:74" x14ac:dyDescent="0.3">
      <c r="BV1174" s="32">
        <f t="shared" ca="1" si="18"/>
        <v>121</v>
      </c>
    </row>
    <row r="1175" spans="74:74" x14ac:dyDescent="0.3">
      <c r="BV1175" s="32">
        <f t="shared" ca="1" si="18"/>
        <v>121</v>
      </c>
    </row>
    <row r="1176" spans="74:74" x14ac:dyDescent="0.3">
      <c r="BV1176" s="32">
        <f t="shared" ca="1" si="18"/>
        <v>121</v>
      </c>
    </row>
    <row r="1177" spans="74:74" x14ac:dyDescent="0.3">
      <c r="BV1177" s="32">
        <f t="shared" ca="1" si="18"/>
        <v>121</v>
      </c>
    </row>
    <row r="1178" spans="74:74" x14ac:dyDescent="0.3">
      <c r="BV1178" s="32">
        <f t="shared" ca="1" si="18"/>
        <v>121</v>
      </c>
    </row>
    <row r="1179" spans="74:74" x14ac:dyDescent="0.3">
      <c r="BV1179" s="32">
        <f t="shared" ca="1" si="18"/>
        <v>121</v>
      </c>
    </row>
    <row r="1180" spans="74:74" x14ac:dyDescent="0.3">
      <c r="BV1180" s="32">
        <f t="shared" ca="1" si="18"/>
        <v>121</v>
      </c>
    </row>
    <row r="1181" spans="74:74" x14ac:dyDescent="0.3">
      <c r="BV1181" s="32">
        <f t="shared" ca="1" si="18"/>
        <v>121</v>
      </c>
    </row>
    <row r="1182" spans="74:74" x14ac:dyDescent="0.3">
      <c r="BV1182" s="32">
        <f t="shared" ca="1" si="18"/>
        <v>121</v>
      </c>
    </row>
    <row r="1183" spans="74:74" x14ac:dyDescent="0.3">
      <c r="BV1183" s="32">
        <f t="shared" ca="1" si="18"/>
        <v>121</v>
      </c>
    </row>
    <row r="1184" spans="74:74" x14ac:dyDescent="0.3">
      <c r="BV1184" s="32">
        <f t="shared" ca="1" si="18"/>
        <v>121</v>
      </c>
    </row>
    <row r="1185" spans="74:74" x14ac:dyDescent="0.3">
      <c r="BV1185" s="32">
        <f t="shared" ca="1" si="18"/>
        <v>121</v>
      </c>
    </row>
    <row r="1186" spans="74:74" x14ac:dyDescent="0.3">
      <c r="BV1186" s="32">
        <f t="shared" ca="1" si="18"/>
        <v>121</v>
      </c>
    </row>
    <row r="1187" spans="74:74" x14ac:dyDescent="0.3">
      <c r="BV1187" s="32">
        <f t="shared" ca="1" si="18"/>
        <v>121</v>
      </c>
    </row>
    <row r="1188" spans="74:74" x14ac:dyDescent="0.3">
      <c r="BV1188" s="32">
        <f t="shared" ca="1" si="18"/>
        <v>121</v>
      </c>
    </row>
    <row r="1189" spans="74:74" x14ac:dyDescent="0.3">
      <c r="BV1189" s="32">
        <f t="shared" ca="1" si="18"/>
        <v>121</v>
      </c>
    </row>
    <row r="1190" spans="74:74" x14ac:dyDescent="0.3">
      <c r="BV1190" s="32">
        <f t="shared" ca="1" si="18"/>
        <v>121</v>
      </c>
    </row>
    <row r="1191" spans="74:74" x14ac:dyDescent="0.3">
      <c r="BV1191" s="32">
        <f t="shared" ca="1" si="18"/>
        <v>121</v>
      </c>
    </row>
    <row r="1192" spans="74:74" x14ac:dyDescent="0.3">
      <c r="BV1192" s="32">
        <f t="shared" ca="1" si="18"/>
        <v>121</v>
      </c>
    </row>
    <row r="1193" spans="74:74" x14ac:dyDescent="0.3">
      <c r="BV1193" s="32">
        <f t="shared" ca="1" si="18"/>
        <v>121</v>
      </c>
    </row>
    <row r="1194" spans="74:74" x14ac:dyDescent="0.3">
      <c r="BV1194" s="32">
        <f t="shared" ca="1" si="18"/>
        <v>121</v>
      </c>
    </row>
    <row r="1195" spans="74:74" x14ac:dyDescent="0.3">
      <c r="BV1195" s="32">
        <f t="shared" ca="1" si="18"/>
        <v>121</v>
      </c>
    </row>
    <row r="1196" spans="74:74" x14ac:dyDescent="0.3">
      <c r="BV1196" s="32">
        <f t="shared" ca="1" si="18"/>
        <v>121</v>
      </c>
    </row>
    <row r="1197" spans="74:74" x14ac:dyDescent="0.3">
      <c r="BV1197" s="32">
        <f t="shared" ca="1" si="18"/>
        <v>121</v>
      </c>
    </row>
    <row r="1198" spans="74:74" x14ac:dyDescent="0.3">
      <c r="BV1198" s="32">
        <f t="shared" ca="1" si="18"/>
        <v>121</v>
      </c>
    </row>
    <row r="1199" spans="74:74" x14ac:dyDescent="0.3">
      <c r="BV1199" s="32">
        <f t="shared" ca="1" si="18"/>
        <v>121</v>
      </c>
    </row>
    <row r="1200" spans="74:74" x14ac:dyDescent="0.3">
      <c r="BV1200" s="32">
        <f t="shared" ca="1" si="18"/>
        <v>121</v>
      </c>
    </row>
    <row r="1201" spans="74:74" x14ac:dyDescent="0.3">
      <c r="BV1201" s="32">
        <f t="shared" ca="1" si="18"/>
        <v>121</v>
      </c>
    </row>
    <row r="1202" spans="74:74" x14ac:dyDescent="0.3">
      <c r="BV1202" s="32">
        <f t="shared" ca="1" si="18"/>
        <v>121</v>
      </c>
    </row>
    <row r="1203" spans="74:74" x14ac:dyDescent="0.3">
      <c r="BV1203" s="32">
        <f t="shared" ca="1" si="18"/>
        <v>121</v>
      </c>
    </row>
    <row r="1204" spans="74:74" x14ac:dyDescent="0.3">
      <c r="BV1204" s="32">
        <f t="shared" ca="1" si="18"/>
        <v>121</v>
      </c>
    </row>
    <row r="1205" spans="74:74" x14ac:dyDescent="0.3">
      <c r="BV1205" s="32">
        <f t="shared" ca="1" si="18"/>
        <v>121</v>
      </c>
    </row>
    <row r="1206" spans="74:74" x14ac:dyDescent="0.3">
      <c r="BV1206" s="32">
        <f t="shared" ca="1" si="18"/>
        <v>121</v>
      </c>
    </row>
    <row r="1207" spans="74:74" x14ac:dyDescent="0.3">
      <c r="BV1207" s="32">
        <f t="shared" ca="1" si="18"/>
        <v>121</v>
      </c>
    </row>
    <row r="1208" spans="74:74" x14ac:dyDescent="0.3">
      <c r="BV1208" s="32">
        <f t="shared" ca="1" si="18"/>
        <v>121</v>
      </c>
    </row>
    <row r="1209" spans="74:74" x14ac:dyDescent="0.3">
      <c r="BV1209" s="32">
        <f t="shared" ca="1" si="18"/>
        <v>121</v>
      </c>
    </row>
    <row r="1210" spans="74:74" x14ac:dyDescent="0.3">
      <c r="BV1210" s="32">
        <f t="shared" ca="1" si="18"/>
        <v>121</v>
      </c>
    </row>
    <row r="1211" spans="74:74" x14ac:dyDescent="0.3">
      <c r="BV1211" s="32">
        <f t="shared" ca="1" si="18"/>
        <v>121</v>
      </c>
    </row>
    <row r="1212" spans="74:74" x14ac:dyDescent="0.3">
      <c r="BV1212" s="32">
        <f t="shared" ca="1" si="18"/>
        <v>121</v>
      </c>
    </row>
    <row r="1213" spans="74:74" x14ac:dyDescent="0.3">
      <c r="BV1213" s="32">
        <f t="shared" ca="1" si="18"/>
        <v>121</v>
      </c>
    </row>
    <row r="1214" spans="74:74" x14ac:dyDescent="0.3">
      <c r="BV1214" s="32">
        <f t="shared" ca="1" si="18"/>
        <v>121</v>
      </c>
    </row>
    <row r="1215" spans="74:74" x14ac:dyDescent="0.3">
      <c r="BV1215" s="32">
        <f t="shared" ca="1" si="18"/>
        <v>121</v>
      </c>
    </row>
    <row r="1216" spans="74:74" x14ac:dyDescent="0.3">
      <c r="BV1216" s="32">
        <f t="shared" ca="1" si="18"/>
        <v>121</v>
      </c>
    </row>
    <row r="1217" spans="74:74" x14ac:dyDescent="0.3">
      <c r="BV1217" s="32">
        <f t="shared" ca="1" si="18"/>
        <v>121</v>
      </c>
    </row>
    <row r="1218" spans="74:74" x14ac:dyDescent="0.3">
      <c r="BV1218" s="32">
        <f t="shared" ca="1" si="18"/>
        <v>121</v>
      </c>
    </row>
    <row r="1219" spans="74:74" x14ac:dyDescent="0.3">
      <c r="BV1219" s="32">
        <f t="shared" ca="1" si="18"/>
        <v>121</v>
      </c>
    </row>
    <row r="1220" spans="74:74" x14ac:dyDescent="0.3">
      <c r="BV1220" s="32">
        <f t="shared" ca="1" si="18"/>
        <v>121</v>
      </c>
    </row>
    <row r="1221" spans="74:74" x14ac:dyDescent="0.3">
      <c r="BV1221" s="32">
        <f t="shared" ca="1" si="18"/>
        <v>121</v>
      </c>
    </row>
    <row r="1222" spans="74:74" x14ac:dyDescent="0.3">
      <c r="BV1222" s="32">
        <f t="shared" ca="1" si="18"/>
        <v>121</v>
      </c>
    </row>
    <row r="1223" spans="74:74" x14ac:dyDescent="0.3">
      <c r="BV1223" s="32">
        <f t="shared" ca="1" si="18"/>
        <v>121</v>
      </c>
    </row>
    <row r="1224" spans="74:74" x14ac:dyDescent="0.3">
      <c r="BV1224" s="32">
        <f t="shared" ca="1" si="18"/>
        <v>121</v>
      </c>
    </row>
    <row r="1225" spans="74:74" x14ac:dyDescent="0.3">
      <c r="BV1225" s="32">
        <f t="shared" ca="1" si="18"/>
        <v>121</v>
      </c>
    </row>
    <row r="1226" spans="74:74" x14ac:dyDescent="0.3">
      <c r="BV1226" s="32">
        <f t="shared" ca="1" si="18"/>
        <v>121</v>
      </c>
    </row>
    <row r="1227" spans="74:74" x14ac:dyDescent="0.3">
      <c r="BV1227" s="32">
        <f t="shared" ca="1" si="18"/>
        <v>121</v>
      </c>
    </row>
    <row r="1228" spans="74:74" x14ac:dyDescent="0.3">
      <c r="BV1228" s="32">
        <f t="shared" ca="1" si="18"/>
        <v>121</v>
      </c>
    </row>
    <row r="1229" spans="74:74" x14ac:dyDescent="0.3">
      <c r="BV1229" s="32">
        <f t="shared" ref="BV1229:BV1292" ca="1" si="19">INT((TODAY()-$I1229)/365)</f>
        <v>121</v>
      </c>
    </row>
    <row r="1230" spans="74:74" x14ac:dyDescent="0.3">
      <c r="BV1230" s="32">
        <f t="shared" ca="1" si="19"/>
        <v>121</v>
      </c>
    </row>
    <row r="1231" spans="74:74" x14ac:dyDescent="0.3">
      <c r="BV1231" s="32">
        <f t="shared" ca="1" si="19"/>
        <v>121</v>
      </c>
    </row>
    <row r="1232" spans="74:74" x14ac:dyDescent="0.3">
      <c r="BV1232" s="32">
        <f t="shared" ca="1" si="19"/>
        <v>121</v>
      </c>
    </row>
    <row r="1233" spans="74:74" x14ac:dyDescent="0.3">
      <c r="BV1233" s="32">
        <f t="shared" ca="1" si="19"/>
        <v>121</v>
      </c>
    </row>
    <row r="1234" spans="74:74" x14ac:dyDescent="0.3">
      <c r="BV1234" s="32">
        <f t="shared" ca="1" si="19"/>
        <v>121</v>
      </c>
    </row>
    <row r="1235" spans="74:74" x14ac:dyDescent="0.3">
      <c r="BV1235" s="32">
        <f t="shared" ca="1" si="19"/>
        <v>121</v>
      </c>
    </row>
    <row r="1236" spans="74:74" x14ac:dyDescent="0.3">
      <c r="BV1236" s="32">
        <f t="shared" ca="1" si="19"/>
        <v>121</v>
      </c>
    </row>
    <row r="1237" spans="74:74" x14ac:dyDescent="0.3">
      <c r="BV1237" s="32">
        <f t="shared" ca="1" si="19"/>
        <v>121</v>
      </c>
    </row>
    <row r="1238" spans="74:74" x14ac:dyDescent="0.3">
      <c r="BV1238" s="32">
        <f t="shared" ca="1" si="19"/>
        <v>121</v>
      </c>
    </row>
    <row r="1239" spans="74:74" x14ac:dyDescent="0.3">
      <c r="BV1239" s="32">
        <f t="shared" ca="1" si="19"/>
        <v>121</v>
      </c>
    </row>
    <row r="1240" spans="74:74" x14ac:dyDescent="0.3">
      <c r="BV1240" s="32">
        <f t="shared" ca="1" si="19"/>
        <v>121</v>
      </c>
    </row>
    <row r="1241" spans="74:74" x14ac:dyDescent="0.3">
      <c r="BV1241" s="32">
        <f t="shared" ca="1" si="19"/>
        <v>121</v>
      </c>
    </row>
    <row r="1242" spans="74:74" x14ac:dyDescent="0.3">
      <c r="BV1242" s="32">
        <f t="shared" ca="1" si="19"/>
        <v>121</v>
      </c>
    </row>
    <row r="1243" spans="74:74" x14ac:dyDescent="0.3">
      <c r="BV1243" s="32">
        <f t="shared" ca="1" si="19"/>
        <v>121</v>
      </c>
    </row>
    <row r="1244" spans="74:74" x14ac:dyDescent="0.3">
      <c r="BV1244" s="32">
        <f t="shared" ca="1" si="19"/>
        <v>121</v>
      </c>
    </row>
    <row r="1245" spans="74:74" x14ac:dyDescent="0.3">
      <c r="BV1245" s="32">
        <f t="shared" ca="1" si="19"/>
        <v>121</v>
      </c>
    </row>
    <row r="1246" spans="74:74" x14ac:dyDescent="0.3">
      <c r="BV1246" s="32">
        <f t="shared" ca="1" si="19"/>
        <v>121</v>
      </c>
    </row>
    <row r="1247" spans="74:74" x14ac:dyDescent="0.3">
      <c r="BV1247" s="32">
        <f t="shared" ca="1" si="19"/>
        <v>121</v>
      </c>
    </row>
    <row r="1248" spans="74:74" x14ac:dyDescent="0.3">
      <c r="BV1248" s="32">
        <f t="shared" ca="1" si="19"/>
        <v>121</v>
      </c>
    </row>
    <row r="1249" spans="74:74" x14ac:dyDescent="0.3">
      <c r="BV1249" s="32">
        <f t="shared" ca="1" si="19"/>
        <v>121</v>
      </c>
    </row>
    <row r="1250" spans="74:74" x14ac:dyDescent="0.3">
      <c r="BV1250" s="32">
        <f t="shared" ca="1" si="19"/>
        <v>121</v>
      </c>
    </row>
    <row r="1251" spans="74:74" x14ac:dyDescent="0.3">
      <c r="BV1251" s="32">
        <f t="shared" ca="1" si="19"/>
        <v>121</v>
      </c>
    </row>
    <row r="1252" spans="74:74" x14ac:dyDescent="0.3">
      <c r="BV1252" s="32">
        <f t="shared" ca="1" si="19"/>
        <v>121</v>
      </c>
    </row>
    <row r="1253" spans="74:74" x14ac:dyDescent="0.3">
      <c r="BV1253" s="32">
        <f t="shared" ca="1" si="19"/>
        <v>121</v>
      </c>
    </row>
    <row r="1254" spans="74:74" x14ac:dyDescent="0.3">
      <c r="BV1254" s="32">
        <f t="shared" ca="1" si="19"/>
        <v>121</v>
      </c>
    </row>
    <row r="1255" spans="74:74" x14ac:dyDescent="0.3">
      <c r="BV1255" s="32">
        <f t="shared" ca="1" si="19"/>
        <v>121</v>
      </c>
    </row>
    <row r="1256" spans="74:74" x14ac:dyDescent="0.3">
      <c r="BV1256" s="32">
        <f t="shared" ca="1" si="19"/>
        <v>121</v>
      </c>
    </row>
    <row r="1257" spans="74:74" x14ac:dyDescent="0.3">
      <c r="BV1257" s="32">
        <f t="shared" ca="1" si="19"/>
        <v>121</v>
      </c>
    </row>
    <row r="1258" spans="74:74" x14ac:dyDescent="0.3">
      <c r="BV1258" s="32">
        <f t="shared" ca="1" si="19"/>
        <v>121</v>
      </c>
    </row>
    <row r="1259" spans="74:74" x14ac:dyDescent="0.3">
      <c r="BV1259" s="32">
        <f t="shared" ca="1" si="19"/>
        <v>121</v>
      </c>
    </row>
    <row r="1260" spans="74:74" x14ac:dyDescent="0.3">
      <c r="BV1260" s="32">
        <f t="shared" ca="1" si="19"/>
        <v>121</v>
      </c>
    </row>
    <row r="1261" spans="74:74" x14ac:dyDescent="0.3">
      <c r="BV1261" s="32">
        <f t="shared" ca="1" si="19"/>
        <v>121</v>
      </c>
    </row>
    <row r="1262" spans="74:74" x14ac:dyDescent="0.3">
      <c r="BV1262" s="32">
        <f t="shared" ca="1" si="19"/>
        <v>121</v>
      </c>
    </row>
    <row r="1263" spans="74:74" x14ac:dyDescent="0.3">
      <c r="BV1263" s="32">
        <f t="shared" ca="1" si="19"/>
        <v>121</v>
      </c>
    </row>
    <row r="1264" spans="74:74" x14ac:dyDescent="0.3">
      <c r="BV1264" s="32">
        <f t="shared" ca="1" si="19"/>
        <v>121</v>
      </c>
    </row>
    <row r="1265" spans="74:74" x14ac:dyDescent="0.3">
      <c r="BV1265" s="32">
        <f t="shared" ca="1" si="19"/>
        <v>121</v>
      </c>
    </row>
    <row r="1266" spans="74:74" x14ac:dyDescent="0.3">
      <c r="BV1266" s="32">
        <f t="shared" ca="1" si="19"/>
        <v>121</v>
      </c>
    </row>
    <row r="1267" spans="74:74" x14ac:dyDescent="0.3">
      <c r="BV1267" s="32">
        <f t="shared" ca="1" si="19"/>
        <v>121</v>
      </c>
    </row>
    <row r="1268" spans="74:74" x14ac:dyDescent="0.3">
      <c r="BV1268" s="32">
        <f t="shared" ca="1" si="19"/>
        <v>121</v>
      </c>
    </row>
    <row r="1269" spans="74:74" x14ac:dyDescent="0.3">
      <c r="BV1269" s="32">
        <f t="shared" ca="1" si="19"/>
        <v>121</v>
      </c>
    </row>
    <row r="1270" spans="74:74" x14ac:dyDescent="0.3">
      <c r="BV1270" s="32">
        <f t="shared" ca="1" si="19"/>
        <v>121</v>
      </c>
    </row>
    <row r="1271" spans="74:74" x14ac:dyDescent="0.3">
      <c r="BV1271" s="32">
        <f t="shared" ca="1" si="19"/>
        <v>121</v>
      </c>
    </row>
    <row r="1272" spans="74:74" x14ac:dyDescent="0.3">
      <c r="BV1272" s="32">
        <f t="shared" ca="1" si="19"/>
        <v>121</v>
      </c>
    </row>
    <row r="1273" spans="74:74" x14ac:dyDescent="0.3">
      <c r="BV1273" s="32">
        <f t="shared" ca="1" si="19"/>
        <v>121</v>
      </c>
    </row>
    <row r="1274" spans="74:74" x14ac:dyDescent="0.3">
      <c r="BV1274" s="32">
        <f t="shared" ca="1" si="19"/>
        <v>121</v>
      </c>
    </row>
    <row r="1275" spans="74:74" x14ac:dyDescent="0.3">
      <c r="BV1275" s="32">
        <f t="shared" ca="1" si="19"/>
        <v>121</v>
      </c>
    </row>
    <row r="1276" spans="74:74" x14ac:dyDescent="0.3">
      <c r="BV1276" s="32">
        <f t="shared" ca="1" si="19"/>
        <v>121</v>
      </c>
    </row>
    <row r="1277" spans="74:74" x14ac:dyDescent="0.3">
      <c r="BV1277" s="32">
        <f t="shared" ca="1" si="19"/>
        <v>121</v>
      </c>
    </row>
    <row r="1278" spans="74:74" x14ac:dyDescent="0.3">
      <c r="BV1278" s="32">
        <f t="shared" ca="1" si="19"/>
        <v>121</v>
      </c>
    </row>
    <row r="1279" spans="74:74" x14ac:dyDescent="0.3">
      <c r="BV1279" s="32">
        <f t="shared" ca="1" si="19"/>
        <v>121</v>
      </c>
    </row>
    <row r="1280" spans="74:74" x14ac:dyDescent="0.3">
      <c r="BV1280" s="32">
        <f t="shared" ca="1" si="19"/>
        <v>121</v>
      </c>
    </row>
    <row r="1281" spans="74:74" x14ac:dyDescent="0.3">
      <c r="BV1281" s="32">
        <f t="shared" ca="1" si="19"/>
        <v>121</v>
      </c>
    </row>
    <row r="1282" spans="74:74" x14ac:dyDescent="0.3">
      <c r="BV1282" s="32">
        <f t="shared" ca="1" si="19"/>
        <v>121</v>
      </c>
    </row>
    <row r="1283" spans="74:74" x14ac:dyDescent="0.3">
      <c r="BV1283" s="32">
        <f t="shared" ca="1" si="19"/>
        <v>121</v>
      </c>
    </row>
    <row r="1284" spans="74:74" x14ac:dyDescent="0.3">
      <c r="BV1284" s="32">
        <f t="shared" ca="1" si="19"/>
        <v>121</v>
      </c>
    </row>
    <row r="1285" spans="74:74" x14ac:dyDescent="0.3">
      <c r="BV1285" s="32">
        <f t="shared" ca="1" si="19"/>
        <v>121</v>
      </c>
    </row>
    <row r="1286" spans="74:74" x14ac:dyDescent="0.3">
      <c r="BV1286" s="32">
        <f t="shared" ca="1" si="19"/>
        <v>121</v>
      </c>
    </row>
    <row r="1287" spans="74:74" x14ac:dyDescent="0.3">
      <c r="BV1287" s="32">
        <f t="shared" ca="1" si="19"/>
        <v>121</v>
      </c>
    </row>
    <row r="1288" spans="74:74" x14ac:dyDescent="0.3">
      <c r="BV1288" s="32">
        <f t="shared" ca="1" si="19"/>
        <v>121</v>
      </c>
    </row>
    <row r="1289" spans="74:74" x14ac:dyDescent="0.3">
      <c r="BV1289" s="32">
        <f t="shared" ca="1" si="19"/>
        <v>121</v>
      </c>
    </row>
    <row r="1290" spans="74:74" x14ac:dyDescent="0.3">
      <c r="BV1290" s="32">
        <f t="shared" ca="1" si="19"/>
        <v>121</v>
      </c>
    </row>
    <row r="1291" spans="74:74" x14ac:dyDescent="0.3">
      <c r="BV1291" s="32">
        <f t="shared" ca="1" si="19"/>
        <v>121</v>
      </c>
    </row>
    <row r="1292" spans="74:74" x14ac:dyDescent="0.3">
      <c r="BV1292" s="32">
        <f t="shared" ca="1" si="19"/>
        <v>121</v>
      </c>
    </row>
    <row r="1293" spans="74:74" x14ac:dyDescent="0.3">
      <c r="BV1293" s="32">
        <f t="shared" ref="BV1293:BV1356" ca="1" si="20">INT((TODAY()-$I1293)/365)</f>
        <v>121</v>
      </c>
    </row>
    <row r="1294" spans="74:74" x14ac:dyDescent="0.3">
      <c r="BV1294" s="32">
        <f t="shared" ca="1" si="20"/>
        <v>121</v>
      </c>
    </row>
    <row r="1295" spans="74:74" x14ac:dyDescent="0.3">
      <c r="BV1295" s="32">
        <f t="shared" ca="1" si="20"/>
        <v>121</v>
      </c>
    </row>
    <row r="1296" spans="74:74" x14ac:dyDescent="0.3">
      <c r="BV1296" s="32">
        <f t="shared" ca="1" si="20"/>
        <v>121</v>
      </c>
    </row>
    <row r="1297" spans="74:74" x14ac:dyDescent="0.3">
      <c r="BV1297" s="32">
        <f t="shared" ca="1" si="20"/>
        <v>121</v>
      </c>
    </row>
    <row r="1298" spans="74:74" x14ac:dyDescent="0.3">
      <c r="BV1298" s="32">
        <f t="shared" ca="1" si="20"/>
        <v>121</v>
      </c>
    </row>
    <row r="1299" spans="74:74" x14ac:dyDescent="0.3">
      <c r="BV1299" s="32">
        <f t="shared" ca="1" si="20"/>
        <v>121</v>
      </c>
    </row>
    <row r="1300" spans="74:74" x14ac:dyDescent="0.3">
      <c r="BV1300" s="32">
        <f t="shared" ca="1" si="20"/>
        <v>121</v>
      </c>
    </row>
    <row r="1301" spans="74:74" x14ac:dyDescent="0.3">
      <c r="BV1301" s="32">
        <f t="shared" ca="1" si="20"/>
        <v>121</v>
      </c>
    </row>
    <row r="1302" spans="74:74" x14ac:dyDescent="0.3">
      <c r="BV1302" s="32">
        <f t="shared" ca="1" si="20"/>
        <v>121</v>
      </c>
    </row>
    <row r="1303" spans="74:74" x14ac:dyDescent="0.3">
      <c r="BV1303" s="32">
        <f t="shared" ca="1" si="20"/>
        <v>121</v>
      </c>
    </row>
    <row r="1304" spans="74:74" x14ac:dyDescent="0.3">
      <c r="BV1304" s="32">
        <f t="shared" ca="1" si="20"/>
        <v>121</v>
      </c>
    </row>
    <row r="1305" spans="74:74" x14ac:dyDescent="0.3">
      <c r="BV1305" s="32">
        <f t="shared" ca="1" si="20"/>
        <v>121</v>
      </c>
    </row>
    <row r="1306" spans="74:74" x14ac:dyDescent="0.3">
      <c r="BV1306" s="32">
        <f t="shared" ca="1" si="20"/>
        <v>121</v>
      </c>
    </row>
    <row r="1307" spans="74:74" x14ac:dyDescent="0.3">
      <c r="BV1307" s="32">
        <f t="shared" ca="1" si="20"/>
        <v>121</v>
      </c>
    </row>
    <row r="1308" spans="74:74" x14ac:dyDescent="0.3">
      <c r="BV1308" s="32">
        <f t="shared" ca="1" si="20"/>
        <v>121</v>
      </c>
    </row>
    <row r="1309" spans="74:74" x14ac:dyDescent="0.3">
      <c r="BV1309" s="32">
        <f t="shared" ca="1" si="20"/>
        <v>121</v>
      </c>
    </row>
    <row r="1310" spans="74:74" x14ac:dyDescent="0.3">
      <c r="BV1310" s="32">
        <f t="shared" ca="1" si="20"/>
        <v>121</v>
      </c>
    </row>
    <row r="1311" spans="74:74" x14ac:dyDescent="0.3">
      <c r="BV1311" s="32">
        <f t="shared" ca="1" si="20"/>
        <v>121</v>
      </c>
    </row>
    <row r="1312" spans="74:74" x14ac:dyDescent="0.3">
      <c r="BV1312" s="32">
        <f t="shared" ca="1" si="20"/>
        <v>121</v>
      </c>
    </row>
    <row r="1313" spans="74:74" x14ac:dyDescent="0.3">
      <c r="BV1313" s="32">
        <f t="shared" ca="1" si="20"/>
        <v>121</v>
      </c>
    </row>
    <row r="1314" spans="74:74" x14ac:dyDescent="0.3">
      <c r="BV1314" s="32">
        <f t="shared" ca="1" si="20"/>
        <v>121</v>
      </c>
    </row>
    <row r="1315" spans="74:74" x14ac:dyDescent="0.3">
      <c r="BV1315" s="32">
        <f t="shared" ca="1" si="20"/>
        <v>121</v>
      </c>
    </row>
    <row r="1316" spans="74:74" x14ac:dyDescent="0.3">
      <c r="BV1316" s="32">
        <f t="shared" ca="1" si="20"/>
        <v>121</v>
      </c>
    </row>
    <row r="1317" spans="74:74" x14ac:dyDescent="0.3">
      <c r="BV1317" s="32">
        <f t="shared" ca="1" si="20"/>
        <v>121</v>
      </c>
    </row>
    <row r="1318" spans="74:74" x14ac:dyDescent="0.3">
      <c r="BV1318" s="32">
        <f t="shared" ca="1" si="20"/>
        <v>121</v>
      </c>
    </row>
    <row r="1319" spans="74:74" x14ac:dyDescent="0.3">
      <c r="BV1319" s="32">
        <f t="shared" ca="1" si="20"/>
        <v>121</v>
      </c>
    </row>
    <row r="1320" spans="74:74" x14ac:dyDescent="0.3">
      <c r="BV1320" s="32">
        <f t="shared" ca="1" si="20"/>
        <v>121</v>
      </c>
    </row>
    <row r="1321" spans="74:74" x14ac:dyDescent="0.3">
      <c r="BV1321" s="32">
        <f t="shared" ca="1" si="20"/>
        <v>121</v>
      </c>
    </row>
    <row r="1322" spans="74:74" x14ac:dyDescent="0.3">
      <c r="BV1322" s="32">
        <f t="shared" ca="1" si="20"/>
        <v>121</v>
      </c>
    </row>
    <row r="1323" spans="74:74" x14ac:dyDescent="0.3">
      <c r="BV1323" s="32">
        <f t="shared" ca="1" si="20"/>
        <v>121</v>
      </c>
    </row>
    <row r="1324" spans="74:74" x14ac:dyDescent="0.3">
      <c r="BV1324" s="32">
        <f t="shared" ca="1" si="20"/>
        <v>121</v>
      </c>
    </row>
    <row r="1325" spans="74:74" x14ac:dyDescent="0.3">
      <c r="BV1325" s="32">
        <f t="shared" ca="1" si="20"/>
        <v>121</v>
      </c>
    </row>
    <row r="1326" spans="74:74" x14ac:dyDescent="0.3">
      <c r="BV1326" s="32">
        <f t="shared" ca="1" si="20"/>
        <v>121</v>
      </c>
    </row>
    <row r="1327" spans="74:74" x14ac:dyDescent="0.3">
      <c r="BV1327" s="32">
        <f t="shared" ca="1" si="20"/>
        <v>121</v>
      </c>
    </row>
    <row r="1328" spans="74:74" x14ac:dyDescent="0.3">
      <c r="BV1328" s="32">
        <f t="shared" ca="1" si="20"/>
        <v>121</v>
      </c>
    </row>
    <row r="1329" spans="74:74" x14ac:dyDescent="0.3">
      <c r="BV1329" s="32">
        <f t="shared" ca="1" si="20"/>
        <v>121</v>
      </c>
    </row>
    <row r="1330" spans="74:74" x14ac:dyDescent="0.3">
      <c r="BV1330" s="32">
        <f t="shared" ca="1" si="20"/>
        <v>121</v>
      </c>
    </row>
    <row r="1331" spans="74:74" x14ac:dyDescent="0.3">
      <c r="BV1331" s="32">
        <f t="shared" ca="1" si="20"/>
        <v>121</v>
      </c>
    </row>
    <row r="1332" spans="74:74" x14ac:dyDescent="0.3">
      <c r="BV1332" s="32">
        <f t="shared" ca="1" si="20"/>
        <v>121</v>
      </c>
    </row>
    <row r="1333" spans="74:74" x14ac:dyDescent="0.3">
      <c r="BV1333" s="32">
        <f t="shared" ca="1" si="20"/>
        <v>121</v>
      </c>
    </row>
    <row r="1334" spans="74:74" x14ac:dyDescent="0.3">
      <c r="BV1334" s="32">
        <f t="shared" ca="1" si="20"/>
        <v>121</v>
      </c>
    </row>
    <row r="1335" spans="74:74" x14ac:dyDescent="0.3">
      <c r="BV1335" s="32">
        <f t="shared" ca="1" si="20"/>
        <v>121</v>
      </c>
    </row>
    <row r="1336" spans="74:74" x14ac:dyDescent="0.3">
      <c r="BV1336" s="32">
        <f t="shared" ca="1" si="20"/>
        <v>121</v>
      </c>
    </row>
    <row r="1337" spans="74:74" x14ac:dyDescent="0.3">
      <c r="BV1337" s="32">
        <f t="shared" ca="1" si="20"/>
        <v>121</v>
      </c>
    </row>
    <row r="1338" spans="74:74" x14ac:dyDescent="0.3">
      <c r="BV1338" s="32">
        <f t="shared" ca="1" si="20"/>
        <v>121</v>
      </c>
    </row>
    <row r="1339" spans="74:74" x14ac:dyDescent="0.3">
      <c r="BV1339" s="32">
        <f t="shared" ca="1" si="20"/>
        <v>121</v>
      </c>
    </row>
    <row r="1340" spans="74:74" x14ac:dyDescent="0.3">
      <c r="BV1340" s="32">
        <f t="shared" ca="1" si="20"/>
        <v>121</v>
      </c>
    </row>
    <row r="1341" spans="74:74" x14ac:dyDescent="0.3">
      <c r="BV1341" s="32">
        <f t="shared" ca="1" si="20"/>
        <v>121</v>
      </c>
    </row>
    <row r="1342" spans="74:74" x14ac:dyDescent="0.3">
      <c r="BV1342" s="32">
        <f t="shared" ca="1" si="20"/>
        <v>121</v>
      </c>
    </row>
    <row r="1343" spans="74:74" x14ac:dyDescent="0.3">
      <c r="BV1343" s="32">
        <f t="shared" ca="1" si="20"/>
        <v>121</v>
      </c>
    </row>
    <row r="1344" spans="74:74" x14ac:dyDescent="0.3">
      <c r="BV1344" s="32">
        <f t="shared" ca="1" si="20"/>
        <v>121</v>
      </c>
    </row>
    <row r="1345" spans="74:74" x14ac:dyDescent="0.3">
      <c r="BV1345" s="32">
        <f t="shared" ca="1" si="20"/>
        <v>121</v>
      </c>
    </row>
    <row r="1346" spans="74:74" x14ac:dyDescent="0.3">
      <c r="BV1346" s="32">
        <f t="shared" ca="1" si="20"/>
        <v>121</v>
      </c>
    </row>
    <row r="1347" spans="74:74" x14ac:dyDescent="0.3">
      <c r="BV1347" s="32">
        <f t="shared" ca="1" si="20"/>
        <v>121</v>
      </c>
    </row>
    <row r="1348" spans="74:74" x14ac:dyDescent="0.3">
      <c r="BV1348" s="32">
        <f t="shared" ca="1" si="20"/>
        <v>121</v>
      </c>
    </row>
    <row r="1349" spans="74:74" x14ac:dyDescent="0.3">
      <c r="BV1349" s="32">
        <f t="shared" ca="1" si="20"/>
        <v>121</v>
      </c>
    </row>
    <row r="1350" spans="74:74" x14ac:dyDescent="0.3">
      <c r="BV1350" s="32">
        <f t="shared" ca="1" si="20"/>
        <v>121</v>
      </c>
    </row>
    <row r="1351" spans="74:74" x14ac:dyDescent="0.3">
      <c r="BV1351" s="32">
        <f t="shared" ca="1" si="20"/>
        <v>121</v>
      </c>
    </row>
    <row r="1352" spans="74:74" x14ac:dyDescent="0.3">
      <c r="BV1352" s="32">
        <f t="shared" ca="1" si="20"/>
        <v>121</v>
      </c>
    </row>
    <row r="1353" spans="74:74" x14ac:dyDescent="0.3">
      <c r="BV1353" s="32">
        <f t="shared" ca="1" si="20"/>
        <v>121</v>
      </c>
    </row>
    <row r="1354" spans="74:74" x14ac:dyDescent="0.3">
      <c r="BV1354" s="32">
        <f t="shared" ca="1" si="20"/>
        <v>121</v>
      </c>
    </row>
    <row r="1355" spans="74:74" x14ac:dyDescent="0.3">
      <c r="BV1355" s="32">
        <f t="shared" ca="1" si="20"/>
        <v>121</v>
      </c>
    </row>
    <row r="1356" spans="74:74" x14ac:dyDescent="0.3">
      <c r="BV1356" s="32">
        <f t="shared" ca="1" si="20"/>
        <v>121</v>
      </c>
    </row>
    <row r="1357" spans="74:74" x14ac:dyDescent="0.3">
      <c r="BV1357" s="32">
        <f t="shared" ref="BV1357:BV1420" ca="1" si="21">INT((TODAY()-$I1357)/365)</f>
        <v>121</v>
      </c>
    </row>
    <row r="1358" spans="74:74" x14ac:dyDescent="0.3">
      <c r="BV1358" s="32">
        <f t="shared" ca="1" si="21"/>
        <v>121</v>
      </c>
    </row>
    <row r="1359" spans="74:74" x14ac:dyDescent="0.3">
      <c r="BV1359" s="32">
        <f t="shared" ca="1" si="21"/>
        <v>121</v>
      </c>
    </row>
    <row r="1360" spans="74:74" x14ac:dyDescent="0.3">
      <c r="BV1360" s="32">
        <f t="shared" ca="1" si="21"/>
        <v>121</v>
      </c>
    </row>
    <row r="1361" spans="74:74" x14ac:dyDescent="0.3">
      <c r="BV1361" s="32">
        <f t="shared" ca="1" si="21"/>
        <v>121</v>
      </c>
    </row>
    <row r="1362" spans="74:74" x14ac:dyDescent="0.3">
      <c r="BV1362" s="32">
        <f t="shared" ca="1" si="21"/>
        <v>121</v>
      </c>
    </row>
    <row r="1363" spans="74:74" x14ac:dyDescent="0.3">
      <c r="BV1363" s="32">
        <f t="shared" ca="1" si="21"/>
        <v>121</v>
      </c>
    </row>
    <row r="1364" spans="74:74" x14ac:dyDescent="0.3">
      <c r="BV1364" s="32">
        <f t="shared" ca="1" si="21"/>
        <v>121</v>
      </c>
    </row>
    <row r="1365" spans="74:74" x14ac:dyDescent="0.3">
      <c r="BV1365" s="32">
        <f t="shared" ca="1" si="21"/>
        <v>121</v>
      </c>
    </row>
    <row r="1366" spans="74:74" x14ac:dyDescent="0.3">
      <c r="BV1366" s="32">
        <f t="shared" ca="1" si="21"/>
        <v>121</v>
      </c>
    </row>
    <row r="1367" spans="74:74" x14ac:dyDescent="0.3">
      <c r="BV1367" s="32">
        <f t="shared" ca="1" si="21"/>
        <v>121</v>
      </c>
    </row>
    <row r="1368" spans="74:74" x14ac:dyDescent="0.3">
      <c r="BV1368" s="32">
        <f t="shared" ca="1" si="21"/>
        <v>121</v>
      </c>
    </row>
    <row r="1369" spans="74:74" x14ac:dyDescent="0.3">
      <c r="BV1369" s="32">
        <f t="shared" ca="1" si="21"/>
        <v>121</v>
      </c>
    </row>
    <row r="1370" spans="74:74" x14ac:dyDescent="0.3">
      <c r="BV1370" s="32">
        <f t="shared" ca="1" si="21"/>
        <v>121</v>
      </c>
    </row>
    <row r="1371" spans="74:74" x14ac:dyDescent="0.3">
      <c r="BV1371" s="32">
        <f t="shared" ca="1" si="21"/>
        <v>121</v>
      </c>
    </row>
    <row r="1372" spans="74:74" x14ac:dyDescent="0.3">
      <c r="BV1372" s="32">
        <f t="shared" ca="1" si="21"/>
        <v>121</v>
      </c>
    </row>
    <row r="1373" spans="74:74" x14ac:dyDescent="0.3">
      <c r="BV1373" s="32">
        <f t="shared" ca="1" si="21"/>
        <v>121</v>
      </c>
    </row>
    <row r="1374" spans="74:74" x14ac:dyDescent="0.3">
      <c r="BV1374" s="32">
        <f t="shared" ca="1" si="21"/>
        <v>121</v>
      </c>
    </row>
    <row r="1375" spans="74:74" x14ac:dyDescent="0.3">
      <c r="BV1375" s="32">
        <f t="shared" ca="1" si="21"/>
        <v>121</v>
      </c>
    </row>
    <row r="1376" spans="74:74" x14ac:dyDescent="0.3">
      <c r="BV1376" s="32">
        <f t="shared" ca="1" si="21"/>
        <v>121</v>
      </c>
    </row>
    <row r="1377" spans="74:74" x14ac:dyDescent="0.3">
      <c r="BV1377" s="32">
        <f t="shared" ca="1" si="21"/>
        <v>121</v>
      </c>
    </row>
    <row r="1378" spans="74:74" x14ac:dyDescent="0.3">
      <c r="BV1378" s="32">
        <f t="shared" ca="1" si="21"/>
        <v>121</v>
      </c>
    </row>
    <row r="1379" spans="74:74" x14ac:dyDescent="0.3">
      <c r="BV1379" s="32">
        <f t="shared" ca="1" si="21"/>
        <v>121</v>
      </c>
    </row>
    <row r="1380" spans="74:74" x14ac:dyDescent="0.3">
      <c r="BV1380" s="32">
        <f t="shared" ca="1" si="21"/>
        <v>121</v>
      </c>
    </row>
    <row r="1381" spans="74:74" x14ac:dyDescent="0.3">
      <c r="BV1381" s="32">
        <f t="shared" ca="1" si="21"/>
        <v>121</v>
      </c>
    </row>
    <row r="1382" spans="74:74" x14ac:dyDescent="0.3">
      <c r="BV1382" s="32">
        <f t="shared" ca="1" si="21"/>
        <v>121</v>
      </c>
    </row>
    <row r="1383" spans="74:74" x14ac:dyDescent="0.3">
      <c r="BV1383" s="32">
        <f t="shared" ca="1" si="21"/>
        <v>121</v>
      </c>
    </row>
    <row r="1384" spans="74:74" x14ac:dyDescent="0.3">
      <c r="BV1384" s="32">
        <f t="shared" ca="1" si="21"/>
        <v>121</v>
      </c>
    </row>
    <row r="1385" spans="74:74" x14ac:dyDescent="0.3">
      <c r="BV1385" s="32">
        <f t="shared" ca="1" si="21"/>
        <v>121</v>
      </c>
    </row>
    <row r="1386" spans="74:74" x14ac:dyDescent="0.3">
      <c r="BV1386" s="32">
        <f t="shared" ca="1" si="21"/>
        <v>121</v>
      </c>
    </row>
    <row r="1387" spans="74:74" x14ac:dyDescent="0.3">
      <c r="BV1387" s="32">
        <f t="shared" ca="1" si="21"/>
        <v>121</v>
      </c>
    </row>
    <row r="1388" spans="74:74" x14ac:dyDescent="0.3">
      <c r="BV1388" s="32">
        <f t="shared" ca="1" si="21"/>
        <v>121</v>
      </c>
    </row>
    <row r="1389" spans="74:74" x14ac:dyDescent="0.3">
      <c r="BV1389" s="32">
        <f t="shared" ca="1" si="21"/>
        <v>121</v>
      </c>
    </row>
    <row r="1390" spans="74:74" x14ac:dyDescent="0.3">
      <c r="BV1390" s="32">
        <f t="shared" ca="1" si="21"/>
        <v>121</v>
      </c>
    </row>
    <row r="1391" spans="74:74" x14ac:dyDescent="0.3">
      <c r="BV1391" s="32">
        <f t="shared" ca="1" si="21"/>
        <v>121</v>
      </c>
    </row>
    <row r="1392" spans="74:74" x14ac:dyDescent="0.3">
      <c r="BV1392" s="32">
        <f t="shared" ca="1" si="21"/>
        <v>121</v>
      </c>
    </row>
    <row r="1393" spans="74:74" x14ac:dyDescent="0.3">
      <c r="BV1393" s="32">
        <f t="shared" ca="1" si="21"/>
        <v>121</v>
      </c>
    </row>
    <row r="1394" spans="74:74" x14ac:dyDescent="0.3">
      <c r="BV1394" s="32">
        <f t="shared" ca="1" si="21"/>
        <v>121</v>
      </c>
    </row>
    <row r="1395" spans="74:74" x14ac:dyDescent="0.3">
      <c r="BV1395" s="32">
        <f t="shared" ca="1" si="21"/>
        <v>121</v>
      </c>
    </row>
    <row r="1396" spans="74:74" x14ac:dyDescent="0.3">
      <c r="BV1396" s="32">
        <f t="shared" ca="1" si="21"/>
        <v>121</v>
      </c>
    </row>
    <row r="1397" spans="74:74" x14ac:dyDescent="0.3">
      <c r="BV1397" s="32">
        <f t="shared" ca="1" si="21"/>
        <v>121</v>
      </c>
    </row>
    <row r="1398" spans="74:74" x14ac:dyDescent="0.3">
      <c r="BV1398" s="32">
        <f t="shared" ca="1" si="21"/>
        <v>121</v>
      </c>
    </row>
    <row r="1399" spans="74:74" x14ac:dyDescent="0.3">
      <c r="BV1399" s="32">
        <f t="shared" ca="1" si="21"/>
        <v>121</v>
      </c>
    </row>
    <row r="1400" spans="74:74" x14ac:dyDescent="0.3">
      <c r="BV1400" s="32">
        <f t="shared" ca="1" si="21"/>
        <v>121</v>
      </c>
    </row>
    <row r="1401" spans="74:74" x14ac:dyDescent="0.3">
      <c r="BV1401" s="32">
        <f t="shared" ca="1" si="21"/>
        <v>121</v>
      </c>
    </row>
    <row r="1402" spans="74:74" x14ac:dyDescent="0.3">
      <c r="BV1402" s="32">
        <f t="shared" ca="1" si="21"/>
        <v>121</v>
      </c>
    </row>
    <row r="1403" spans="74:74" x14ac:dyDescent="0.3">
      <c r="BV1403" s="32">
        <f t="shared" ca="1" si="21"/>
        <v>121</v>
      </c>
    </row>
    <row r="1404" spans="74:74" x14ac:dyDescent="0.3">
      <c r="BV1404" s="32">
        <f t="shared" ca="1" si="21"/>
        <v>121</v>
      </c>
    </row>
    <row r="1405" spans="74:74" x14ac:dyDescent="0.3">
      <c r="BV1405" s="32">
        <f t="shared" ca="1" si="21"/>
        <v>121</v>
      </c>
    </row>
    <row r="1406" spans="74:74" x14ac:dyDescent="0.3">
      <c r="BV1406" s="32">
        <f t="shared" ca="1" si="21"/>
        <v>121</v>
      </c>
    </row>
    <row r="1407" spans="74:74" x14ac:dyDescent="0.3">
      <c r="BV1407" s="32">
        <f t="shared" ca="1" si="21"/>
        <v>121</v>
      </c>
    </row>
    <row r="1408" spans="74:74" x14ac:dyDescent="0.3">
      <c r="BV1408" s="32">
        <f t="shared" ca="1" si="21"/>
        <v>121</v>
      </c>
    </row>
    <row r="1409" spans="74:74" x14ac:dyDescent="0.3">
      <c r="BV1409" s="32">
        <f t="shared" ca="1" si="21"/>
        <v>121</v>
      </c>
    </row>
    <row r="1410" spans="74:74" x14ac:dyDescent="0.3">
      <c r="BV1410" s="32">
        <f t="shared" ca="1" si="21"/>
        <v>121</v>
      </c>
    </row>
    <row r="1411" spans="74:74" x14ac:dyDescent="0.3">
      <c r="BV1411" s="32">
        <f t="shared" ca="1" si="21"/>
        <v>121</v>
      </c>
    </row>
    <row r="1412" spans="74:74" x14ac:dyDescent="0.3">
      <c r="BV1412" s="32">
        <f t="shared" ca="1" si="21"/>
        <v>121</v>
      </c>
    </row>
    <row r="1413" spans="74:74" x14ac:dyDescent="0.3">
      <c r="BV1413" s="32">
        <f t="shared" ca="1" si="21"/>
        <v>121</v>
      </c>
    </row>
    <row r="1414" spans="74:74" x14ac:dyDescent="0.3">
      <c r="BV1414" s="32">
        <f t="shared" ca="1" si="21"/>
        <v>121</v>
      </c>
    </row>
    <row r="1415" spans="74:74" x14ac:dyDescent="0.3">
      <c r="BV1415" s="32">
        <f t="shared" ca="1" si="21"/>
        <v>121</v>
      </c>
    </row>
    <row r="1416" spans="74:74" x14ac:dyDescent="0.3">
      <c r="BV1416" s="32">
        <f t="shared" ca="1" si="21"/>
        <v>121</v>
      </c>
    </row>
    <row r="1417" spans="74:74" x14ac:dyDescent="0.3">
      <c r="BV1417" s="32">
        <f t="shared" ca="1" si="21"/>
        <v>121</v>
      </c>
    </row>
    <row r="1418" spans="74:74" x14ac:dyDescent="0.3">
      <c r="BV1418" s="32">
        <f t="shared" ca="1" si="21"/>
        <v>121</v>
      </c>
    </row>
    <row r="1419" spans="74:74" x14ac:dyDescent="0.3">
      <c r="BV1419" s="32">
        <f t="shared" ca="1" si="21"/>
        <v>121</v>
      </c>
    </row>
    <row r="1420" spans="74:74" x14ac:dyDescent="0.3">
      <c r="BV1420" s="32">
        <f t="shared" ca="1" si="21"/>
        <v>121</v>
      </c>
    </row>
    <row r="1421" spans="74:74" x14ac:dyDescent="0.3">
      <c r="BV1421" s="32">
        <f t="shared" ref="BV1421:BV1484" ca="1" si="22">INT((TODAY()-$I1421)/365)</f>
        <v>121</v>
      </c>
    </row>
    <row r="1422" spans="74:74" x14ac:dyDescent="0.3">
      <c r="BV1422" s="32">
        <f t="shared" ca="1" si="22"/>
        <v>121</v>
      </c>
    </row>
    <row r="1423" spans="74:74" x14ac:dyDescent="0.3">
      <c r="BV1423" s="32">
        <f t="shared" ca="1" si="22"/>
        <v>121</v>
      </c>
    </row>
    <row r="1424" spans="74:74" x14ac:dyDescent="0.3">
      <c r="BV1424" s="32">
        <f t="shared" ca="1" si="22"/>
        <v>121</v>
      </c>
    </row>
    <row r="1425" spans="74:74" x14ac:dyDescent="0.3">
      <c r="BV1425" s="32">
        <f t="shared" ca="1" si="22"/>
        <v>121</v>
      </c>
    </row>
    <row r="1426" spans="74:74" x14ac:dyDescent="0.3">
      <c r="BV1426" s="32">
        <f t="shared" ca="1" si="22"/>
        <v>121</v>
      </c>
    </row>
    <row r="1427" spans="74:74" x14ac:dyDescent="0.3">
      <c r="BV1427" s="32">
        <f t="shared" ca="1" si="22"/>
        <v>121</v>
      </c>
    </row>
    <row r="1428" spans="74:74" x14ac:dyDescent="0.3">
      <c r="BV1428" s="32">
        <f t="shared" ca="1" si="22"/>
        <v>121</v>
      </c>
    </row>
    <row r="1429" spans="74:74" x14ac:dyDescent="0.3">
      <c r="BV1429" s="32">
        <f t="shared" ca="1" si="22"/>
        <v>121</v>
      </c>
    </row>
    <row r="1430" spans="74:74" x14ac:dyDescent="0.3">
      <c r="BV1430" s="32">
        <f t="shared" ca="1" si="22"/>
        <v>121</v>
      </c>
    </row>
    <row r="1431" spans="74:74" x14ac:dyDescent="0.3">
      <c r="BV1431" s="32">
        <f t="shared" ca="1" si="22"/>
        <v>121</v>
      </c>
    </row>
    <row r="1432" spans="74:74" x14ac:dyDescent="0.3">
      <c r="BV1432" s="32">
        <f t="shared" ca="1" si="22"/>
        <v>121</v>
      </c>
    </row>
    <row r="1433" spans="74:74" x14ac:dyDescent="0.3">
      <c r="BV1433" s="32">
        <f t="shared" ca="1" si="22"/>
        <v>121</v>
      </c>
    </row>
    <row r="1434" spans="74:74" x14ac:dyDescent="0.3">
      <c r="BV1434" s="32">
        <f t="shared" ca="1" si="22"/>
        <v>121</v>
      </c>
    </row>
    <row r="1435" spans="74:74" x14ac:dyDescent="0.3">
      <c r="BV1435" s="32">
        <f t="shared" ca="1" si="22"/>
        <v>121</v>
      </c>
    </row>
    <row r="1436" spans="74:74" x14ac:dyDescent="0.3">
      <c r="BV1436" s="32">
        <f t="shared" ca="1" si="22"/>
        <v>121</v>
      </c>
    </row>
    <row r="1437" spans="74:74" x14ac:dyDescent="0.3">
      <c r="BV1437" s="32">
        <f t="shared" ca="1" si="22"/>
        <v>121</v>
      </c>
    </row>
    <row r="1438" spans="74:74" x14ac:dyDescent="0.3">
      <c r="BV1438" s="32">
        <f t="shared" ca="1" si="22"/>
        <v>121</v>
      </c>
    </row>
    <row r="1439" spans="74:74" x14ac:dyDescent="0.3">
      <c r="BV1439" s="32">
        <f t="shared" ca="1" si="22"/>
        <v>121</v>
      </c>
    </row>
    <row r="1440" spans="74:74" x14ac:dyDescent="0.3">
      <c r="BV1440" s="32">
        <f t="shared" ca="1" si="22"/>
        <v>121</v>
      </c>
    </row>
    <row r="1441" spans="74:74" x14ac:dyDescent="0.3">
      <c r="BV1441" s="32">
        <f t="shared" ca="1" si="22"/>
        <v>121</v>
      </c>
    </row>
    <row r="1442" spans="74:74" x14ac:dyDescent="0.3">
      <c r="BV1442" s="32">
        <f t="shared" ca="1" si="22"/>
        <v>121</v>
      </c>
    </row>
    <row r="1443" spans="74:74" x14ac:dyDescent="0.3">
      <c r="BV1443" s="32">
        <f t="shared" ca="1" si="22"/>
        <v>121</v>
      </c>
    </row>
    <row r="1444" spans="74:74" x14ac:dyDescent="0.3">
      <c r="BV1444" s="32">
        <f t="shared" ca="1" si="22"/>
        <v>121</v>
      </c>
    </row>
    <row r="1445" spans="74:74" x14ac:dyDescent="0.3">
      <c r="BV1445" s="32">
        <f t="shared" ca="1" si="22"/>
        <v>121</v>
      </c>
    </row>
    <row r="1446" spans="74:74" x14ac:dyDescent="0.3">
      <c r="BV1446" s="32">
        <f t="shared" ca="1" si="22"/>
        <v>121</v>
      </c>
    </row>
    <row r="1447" spans="74:74" x14ac:dyDescent="0.3">
      <c r="BV1447" s="32">
        <f t="shared" ca="1" si="22"/>
        <v>121</v>
      </c>
    </row>
    <row r="1448" spans="74:74" x14ac:dyDescent="0.3">
      <c r="BV1448" s="32">
        <f t="shared" ca="1" si="22"/>
        <v>121</v>
      </c>
    </row>
    <row r="1449" spans="74:74" x14ac:dyDescent="0.3">
      <c r="BV1449" s="32">
        <f t="shared" ca="1" si="22"/>
        <v>121</v>
      </c>
    </row>
    <row r="1450" spans="74:74" x14ac:dyDescent="0.3">
      <c r="BV1450" s="32">
        <f t="shared" ca="1" si="22"/>
        <v>121</v>
      </c>
    </row>
    <row r="1451" spans="74:74" x14ac:dyDescent="0.3">
      <c r="BV1451" s="32">
        <f t="shared" ca="1" si="22"/>
        <v>121</v>
      </c>
    </row>
    <row r="1452" spans="74:74" x14ac:dyDescent="0.3">
      <c r="BV1452" s="32">
        <f t="shared" ca="1" si="22"/>
        <v>121</v>
      </c>
    </row>
    <row r="1453" spans="74:74" x14ac:dyDescent="0.3">
      <c r="BV1453" s="32">
        <f t="shared" ca="1" si="22"/>
        <v>121</v>
      </c>
    </row>
    <row r="1454" spans="74:74" x14ac:dyDescent="0.3">
      <c r="BV1454" s="32">
        <f t="shared" ca="1" si="22"/>
        <v>121</v>
      </c>
    </row>
    <row r="1455" spans="74:74" x14ac:dyDescent="0.3">
      <c r="BV1455" s="32">
        <f t="shared" ca="1" si="22"/>
        <v>121</v>
      </c>
    </row>
    <row r="1456" spans="74:74" x14ac:dyDescent="0.3">
      <c r="BV1456" s="32">
        <f t="shared" ca="1" si="22"/>
        <v>121</v>
      </c>
    </row>
    <row r="1457" spans="74:74" x14ac:dyDescent="0.3">
      <c r="BV1457" s="32">
        <f t="shared" ca="1" si="22"/>
        <v>121</v>
      </c>
    </row>
    <row r="1458" spans="74:74" x14ac:dyDescent="0.3">
      <c r="BV1458" s="32">
        <f t="shared" ca="1" si="22"/>
        <v>121</v>
      </c>
    </row>
    <row r="1459" spans="74:74" x14ac:dyDescent="0.3">
      <c r="BV1459" s="32">
        <f t="shared" ca="1" si="22"/>
        <v>121</v>
      </c>
    </row>
    <row r="1460" spans="74:74" x14ac:dyDescent="0.3">
      <c r="BV1460" s="32">
        <f t="shared" ca="1" si="22"/>
        <v>121</v>
      </c>
    </row>
    <row r="1461" spans="74:74" x14ac:dyDescent="0.3">
      <c r="BV1461" s="32">
        <f t="shared" ca="1" si="22"/>
        <v>121</v>
      </c>
    </row>
    <row r="1462" spans="74:74" x14ac:dyDescent="0.3">
      <c r="BV1462" s="32">
        <f t="shared" ca="1" si="22"/>
        <v>121</v>
      </c>
    </row>
    <row r="1463" spans="74:74" x14ac:dyDescent="0.3">
      <c r="BV1463" s="32">
        <f t="shared" ca="1" si="22"/>
        <v>121</v>
      </c>
    </row>
    <row r="1464" spans="74:74" x14ac:dyDescent="0.3">
      <c r="BV1464" s="32">
        <f t="shared" ca="1" si="22"/>
        <v>121</v>
      </c>
    </row>
    <row r="1465" spans="74:74" x14ac:dyDescent="0.3">
      <c r="BV1465" s="32">
        <f t="shared" ca="1" si="22"/>
        <v>121</v>
      </c>
    </row>
    <row r="1466" spans="74:74" x14ac:dyDescent="0.3">
      <c r="BV1466" s="32">
        <f t="shared" ca="1" si="22"/>
        <v>121</v>
      </c>
    </row>
    <row r="1467" spans="74:74" x14ac:dyDescent="0.3">
      <c r="BV1467" s="32">
        <f t="shared" ca="1" si="22"/>
        <v>121</v>
      </c>
    </row>
    <row r="1468" spans="74:74" x14ac:dyDescent="0.3">
      <c r="BV1468" s="32">
        <f t="shared" ca="1" si="22"/>
        <v>121</v>
      </c>
    </row>
    <row r="1469" spans="74:74" x14ac:dyDescent="0.3">
      <c r="BV1469" s="32">
        <f t="shared" ca="1" si="22"/>
        <v>121</v>
      </c>
    </row>
    <row r="1470" spans="74:74" x14ac:dyDescent="0.3">
      <c r="BV1470" s="32">
        <f t="shared" ca="1" si="22"/>
        <v>121</v>
      </c>
    </row>
    <row r="1471" spans="74:74" x14ac:dyDescent="0.3">
      <c r="BV1471" s="32">
        <f t="shared" ca="1" si="22"/>
        <v>121</v>
      </c>
    </row>
    <row r="1472" spans="74:74" x14ac:dyDescent="0.3">
      <c r="BV1472" s="32">
        <f t="shared" ca="1" si="22"/>
        <v>121</v>
      </c>
    </row>
    <row r="1473" spans="74:74" x14ac:dyDescent="0.3">
      <c r="BV1473" s="32">
        <f t="shared" ca="1" si="22"/>
        <v>121</v>
      </c>
    </row>
    <row r="1474" spans="74:74" x14ac:dyDescent="0.3">
      <c r="BV1474" s="32">
        <f t="shared" ca="1" si="22"/>
        <v>121</v>
      </c>
    </row>
    <row r="1475" spans="74:74" x14ac:dyDescent="0.3">
      <c r="BV1475" s="32">
        <f t="shared" ca="1" si="22"/>
        <v>121</v>
      </c>
    </row>
    <row r="1476" spans="74:74" x14ac:dyDescent="0.3">
      <c r="BV1476" s="32">
        <f t="shared" ca="1" si="22"/>
        <v>121</v>
      </c>
    </row>
    <row r="1477" spans="74:74" x14ac:dyDescent="0.3">
      <c r="BV1477" s="32">
        <f t="shared" ca="1" si="22"/>
        <v>121</v>
      </c>
    </row>
    <row r="1478" spans="74:74" x14ac:dyDescent="0.3">
      <c r="BV1478" s="32">
        <f t="shared" ca="1" si="22"/>
        <v>121</v>
      </c>
    </row>
    <row r="1479" spans="74:74" x14ac:dyDescent="0.3">
      <c r="BV1479" s="32">
        <f t="shared" ca="1" si="22"/>
        <v>121</v>
      </c>
    </row>
    <row r="1480" spans="74:74" x14ac:dyDescent="0.3">
      <c r="BV1480" s="32">
        <f t="shared" ca="1" si="22"/>
        <v>121</v>
      </c>
    </row>
    <row r="1481" spans="74:74" x14ac:dyDescent="0.3">
      <c r="BV1481" s="32">
        <f t="shared" ca="1" si="22"/>
        <v>121</v>
      </c>
    </row>
    <row r="1482" spans="74:74" x14ac:dyDescent="0.3">
      <c r="BV1482" s="32">
        <f t="shared" ca="1" si="22"/>
        <v>121</v>
      </c>
    </row>
    <row r="1483" spans="74:74" x14ac:dyDescent="0.3">
      <c r="BV1483" s="32">
        <f t="shared" ca="1" si="22"/>
        <v>121</v>
      </c>
    </row>
    <row r="1484" spans="74:74" x14ac:dyDescent="0.3">
      <c r="BV1484" s="32">
        <f t="shared" ca="1" si="22"/>
        <v>121</v>
      </c>
    </row>
    <row r="1485" spans="74:74" x14ac:dyDescent="0.3">
      <c r="BV1485" s="32">
        <f t="shared" ref="BV1485:BV1548" ca="1" si="23">INT((TODAY()-$I1485)/365)</f>
        <v>121</v>
      </c>
    </row>
    <row r="1486" spans="74:74" x14ac:dyDescent="0.3">
      <c r="BV1486" s="32">
        <f t="shared" ca="1" si="23"/>
        <v>121</v>
      </c>
    </row>
    <row r="1487" spans="74:74" x14ac:dyDescent="0.3">
      <c r="BV1487" s="32">
        <f t="shared" ca="1" si="23"/>
        <v>121</v>
      </c>
    </row>
    <row r="1488" spans="74:74" x14ac:dyDescent="0.3">
      <c r="BV1488" s="32">
        <f t="shared" ca="1" si="23"/>
        <v>121</v>
      </c>
    </row>
    <row r="1489" spans="74:74" x14ac:dyDescent="0.3">
      <c r="BV1489" s="32">
        <f t="shared" ca="1" si="23"/>
        <v>121</v>
      </c>
    </row>
    <row r="1490" spans="74:74" x14ac:dyDescent="0.3">
      <c r="BV1490" s="32">
        <f t="shared" ca="1" si="23"/>
        <v>121</v>
      </c>
    </row>
    <row r="1491" spans="74:74" x14ac:dyDescent="0.3">
      <c r="BV1491" s="32">
        <f t="shared" ca="1" si="23"/>
        <v>121</v>
      </c>
    </row>
    <row r="1492" spans="74:74" x14ac:dyDescent="0.3">
      <c r="BV1492" s="32">
        <f t="shared" ca="1" si="23"/>
        <v>121</v>
      </c>
    </row>
    <row r="1493" spans="74:74" x14ac:dyDescent="0.3">
      <c r="BV1493" s="32">
        <f t="shared" ca="1" si="23"/>
        <v>121</v>
      </c>
    </row>
    <row r="1494" spans="74:74" x14ac:dyDescent="0.3">
      <c r="BV1494" s="32">
        <f t="shared" ca="1" si="23"/>
        <v>121</v>
      </c>
    </row>
    <row r="1495" spans="74:74" x14ac:dyDescent="0.3">
      <c r="BV1495" s="32">
        <f t="shared" ca="1" si="23"/>
        <v>121</v>
      </c>
    </row>
    <row r="1496" spans="74:74" x14ac:dyDescent="0.3">
      <c r="BV1496" s="32">
        <f t="shared" ca="1" si="23"/>
        <v>121</v>
      </c>
    </row>
    <row r="1497" spans="74:74" x14ac:dyDescent="0.3">
      <c r="BV1497" s="32">
        <f t="shared" ca="1" si="23"/>
        <v>121</v>
      </c>
    </row>
    <row r="1498" spans="74:74" x14ac:dyDescent="0.3">
      <c r="BV1498" s="32">
        <f t="shared" ca="1" si="23"/>
        <v>121</v>
      </c>
    </row>
    <row r="1499" spans="74:74" x14ac:dyDescent="0.3">
      <c r="BV1499" s="32">
        <f t="shared" ca="1" si="23"/>
        <v>121</v>
      </c>
    </row>
    <row r="1500" spans="74:74" x14ac:dyDescent="0.3">
      <c r="BV1500" s="32">
        <f t="shared" ca="1" si="23"/>
        <v>121</v>
      </c>
    </row>
    <row r="1501" spans="74:74" x14ac:dyDescent="0.3">
      <c r="BV1501" s="32">
        <f t="shared" ca="1" si="23"/>
        <v>121</v>
      </c>
    </row>
    <row r="1502" spans="74:74" x14ac:dyDescent="0.3">
      <c r="BV1502" s="32">
        <f t="shared" ca="1" si="23"/>
        <v>121</v>
      </c>
    </row>
    <row r="1503" spans="74:74" x14ac:dyDescent="0.3">
      <c r="BV1503" s="32">
        <f t="shared" ca="1" si="23"/>
        <v>121</v>
      </c>
    </row>
    <row r="1504" spans="74:74" x14ac:dyDescent="0.3">
      <c r="BV1504" s="32">
        <f t="shared" ca="1" si="23"/>
        <v>121</v>
      </c>
    </row>
    <row r="1505" spans="74:74" x14ac:dyDescent="0.3">
      <c r="BV1505" s="32">
        <f t="shared" ca="1" si="23"/>
        <v>121</v>
      </c>
    </row>
    <row r="1506" spans="74:74" x14ac:dyDescent="0.3">
      <c r="BV1506" s="32">
        <f t="shared" ca="1" si="23"/>
        <v>121</v>
      </c>
    </row>
    <row r="1507" spans="74:74" x14ac:dyDescent="0.3">
      <c r="BV1507" s="32">
        <f t="shared" ca="1" si="23"/>
        <v>121</v>
      </c>
    </row>
    <row r="1508" spans="74:74" x14ac:dyDescent="0.3">
      <c r="BV1508" s="32">
        <f t="shared" ca="1" si="23"/>
        <v>121</v>
      </c>
    </row>
    <row r="1509" spans="74:74" x14ac:dyDescent="0.3">
      <c r="BV1509" s="32">
        <f t="shared" ca="1" si="23"/>
        <v>121</v>
      </c>
    </row>
    <row r="1510" spans="74:74" x14ac:dyDescent="0.3">
      <c r="BV1510" s="32">
        <f t="shared" ca="1" si="23"/>
        <v>121</v>
      </c>
    </row>
    <row r="1511" spans="74:74" x14ac:dyDescent="0.3">
      <c r="BV1511" s="32">
        <f t="shared" ca="1" si="23"/>
        <v>121</v>
      </c>
    </row>
    <row r="1512" spans="74:74" x14ac:dyDescent="0.3">
      <c r="BV1512" s="32">
        <f t="shared" ca="1" si="23"/>
        <v>121</v>
      </c>
    </row>
    <row r="1513" spans="74:74" x14ac:dyDescent="0.3">
      <c r="BV1513" s="32">
        <f t="shared" ca="1" si="23"/>
        <v>121</v>
      </c>
    </row>
    <row r="1514" spans="74:74" x14ac:dyDescent="0.3">
      <c r="BV1514" s="32">
        <f t="shared" ca="1" si="23"/>
        <v>121</v>
      </c>
    </row>
    <row r="1515" spans="74:74" x14ac:dyDescent="0.3">
      <c r="BV1515" s="32">
        <f t="shared" ca="1" si="23"/>
        <v>121</v>
      </c>
    </row>
    <row r="1516" spans="74:74" x14ac:dyDescent="0.3">
      <c r="BV1516" s="32">
        <f t="shared" ca="1" si="23"/>
        <v>121</v>
      </c>
    </row>
    <row r="1517" spans="74:74" x14ac:dyDescent="0.3">
      <c r="BV1517" s="32">
        <f t="shared" ca="1" si="23"/>
        <v>121</v>
      </c>
    </row>
    <row r="1518" spans="74:74" x14ac:dyDescent="0.3">
      <c r="BV1518" s="32">
        <f t="shared" ca="1" si="23"/>
        <v>121</v>
      </c>
    </row>
    <row r="1519" spans="74:74" x14ac:dyDescent="0.3">
      <c r="BV1519" s="32">
        <f t="shared" ca="1" si="23"/>
        <v>121</v>
      </c>
    </row>
    <row r="1520" spans="74:74" x14ac:dyDescent="0.3">
      <c r="BV1520" s="32">
        <f t="shared" ca="1" si="23"/>
        <v>121</v>
      </c>
    </row>
    <row r="1521" spans="74:74" x14ac:dyDescent="0.3">
      <c r="BV1521" s="32">
        <f t="shared" ca="1" si="23"/>
        <v>121</v>
      </c>
    </row>
    <row r="1522" spans="74:74" x14ac:dyDescent="0.3">
      <c r="BV1522" s="32">
        <f t="shared" ca="1" si="23"/>
        <v>121</v>
      </c>
    </row>
    <row r="1523" spans="74:74" x14ac:dyDescent="0.3">
      <c r="BV1523" s="32">
        <f t="shared" ca="1" si="23"/>
        <v>121</v>
      </c>
    </row>
    <row r="1524" spans="74:74" x14ac:dyDescent="0.3">
      <c r="BV1524" s="32">
        <f t="shared" ca="1" si="23"/>
        <v>121</v>
      </c>
    </row>
    <row r="1525" spans="74:74" x14ac:dyDescent="0.3">
      <c r="BV1525" s="32">
        <f t="shared" ca="1" si="23"/>
        <v>121</v>
      </c>
    </row>
    <row r="1526" spans="74:74" x14ac:dyDescent="0.3">
      <c r="BV1526" s="32">
        <f t="shared" ca="1" si="23"/>
        <v>121</v>
      </c>
    </row>
    <row r="1527" spans="74:74" x14ac:dyDescent="0.3">
      <c r="BV1527" s="32">
        <f t="shared" ca="1" si="23"/>
        <v>121</v>
      </c>
    </row>
    <row r="1528" spans="74:74" x14ac:dyDescent="0.3">
      <c r="BV1528" s="32">
        <f t="shared" ca="1" si="23"/>
        <v>121</v>
      </c>
    </row>
    <row r="1529" spans="74:74" x14ac:dyDescent="0.3">
      <c r="BV1529" s="32">
        <f t="shared" ca="1" si="23"/>
        <v>121</v>
      </c>
    </row>
    <row r="1530" spans="74:74" x14ac:dyDescent="0.3">
      <c r="BV1530" s="32">
        <f t="shared" ca="1" si="23"/>
        <v>121</v>
      </c>
    </row>
    <row r="1531" spans="74:74" x14ac:dyDescent="0.3">
      <c r="BV1531" s="32">
        <f t="shared" ca="1" si="23"/>
        <v>121</v>
      </c>
    </row>
    <row r="1532" spans="74:74" x14ac:dyDescent="0.3">
      <c r="BV1532" s="32">
        <f t="shared" ca="1" si="23"/>
        <v>121</v>
      </c>
    </row>
    <row r="1533" spans="74:74" x14ac:dyDescent="0.3">
      <c r="BV1533" s="32">
        <f t="shared" ca="1" si="23"/>
        <v>121</v>
      </c>
    </row>
    <row r="1534" spans="74:74" x14ac:dyDescent="0.3">
      <c r="BV1534" s="32">
        <f t="shared" ca="1" si="23"/>
        <v>121</v>
      </c>
    </row>
    <row r="1535" spans="74:74" x14ac:dyDescent="0.3">
      <c r="BV1535" s="32">
        <f t="shared" ca="1" si="23"/>
        <v>121</v>
      </c>
    </row>
    <row r="1536" spans="74:74" x14ac:dyDescent="0.3">
      <c r="BV1536" s="32">
        <f t="shared" ca="1" si="23"/>
        <v>121</v>
      </c>
    </row>
    <row r="1537" spans="74:74" x14ac:dyDescent="0.3">
      <c r="BV1537" s="32">
        <f t="shared" ca="1" si="23"/>
        <v>121</v>
      </c>
    </row>
    <row r="1538" spans="74:74" x14ac:dyDescent="0.3">
      <c r="BV1538" s="32">
        <f t="shared" ca="1" si="23"/>
        <v>121</v>
      </c>
    </row>
    <row r="1539" spans="74:74" x14ac:dyDescent="0.3">
      <c r="BV1539" s="32">
        <f t="shared" ca="1" si="23"/>
        <v>121</v>
      </c>
    </row>
    <row r="1540" spans="74:74" x14ac:dyDescent="0.3">
      <c r="BV1540" s="32">
        <f t="shared" ca="1" si="23"/>
        <v>121</v>
      </c>
    </row>
    <row r="1541" spans="74:74" x14ac:dyDescent="0.3">
      <c r="BV1541" s="32">
        <f t="shared" ca="1" si="23"/>
        <v>121</v>
      </c>
    </row>
    <row r="1542" spans="74:74" x14ac:dyDescent="0.3">
      <c r="BV1542" s="32">
        <f t="shared" ca="1" si="23"/>
        <v>121</v>
      </c>
    </row>
    <row r="1543" spans="74:74" x14ac:dyDescent="0.3">
      <c r="BV1543" s="32">
        <f t="shared" ca="1" si="23"/>
        <v>121</v>
      </c>
    </row>
    <row r="1544" spans="74:74" x14ac:dyDescent="0.3">
      <c r="BV1544" s="32">
        <f t="shared" ca="1" si="23"/>
        <v>121</v>
      </c>
    </row>
    <row r="1545" spans="74:74" x14ac:dyDescent="0.3">
      <c r="BV1545" s="32">
        <f t="shared" ca="1" si="23"/>
        <v>121</v>
      </c>
    </row>
    <row r="1546" spans="74:74" x14ac:dyDescent="0.3">
      <c r="BV1546" s="32">
        <f t="shared" ca="1" si="23"/>
        <v>121</v>
      </c>
    </row>
    <row r="1547" spans="74:74" x14ac:dyDescent="0.3">
      <c r="BV1547" s="32">
        <f t="shared" ca="1" si="23"/>
        <v>121</v>
      </c>
    </row>
    <row r="1548" spans="74:74" x14ac:dyDescent="0.3">
      <c r="BV1548" s="32">
        <f t="shared" ca="1" si="23"/>
        <v>121</v>
      </c>
    </row>
    <row r="1549" spans="74:74" x14ac:dyDescent="0.3">
      <c r="BV1549" s="32">
        <f t="shared" ref="BV1549:BV1612" ca="1" si="24">INT((TODAY()-$I1549)/365)</f>
        <v>121</v>
      </c>
    </row>
    <row r="1550" spans="74:74" x14ac:dyDescent="0.3">
      <c r="BV1550" s="32">
        <f t="shared" ca="1" si="24"/>
        <v>121</v>
      </c>
    </row>
    <row r="1551" spans="74:74" x14ac:dyDescent="0.3">
      <c r="BV1551" s="32">
        <f t="shared" ca="1" si="24"/>
        <v>121</v>
      </c>
    </row>
    <row r="1552" spans="74:74" x14ac:dyDescent="0.3">
      <c r="BV1552" s="32">
        <f t="shared" ca="1" si="24"/>
        <v>121</v>
      </c>
    </row>
    <row r="1553" spans="74:74" x14ac:dyDescent="0.3">
      <c r="BV1553" s="32">
        <f t="shared" ca="1" si="24"/>
        <v>121</v>
      </c>
    </row>
    <row r="1554" spans="74:74" x14ac:dyDescent="0.3">
      <c r="BV1554" s="32">
        <f t="shared" ca="1" si="24"/>
        <v>121</v>
      </c>
    </row>
    <row r="1555" spans="74:74" x14ac:dyDescent="0.3">
      <c r="BV1555" s="32">
        <f t="shared" ca="1" si="24"/>
        <v>121</v>
      </c>
    </row>
    <row r="1556" spans="74:74" x14ac:dyDescent="0.3">
      <c r="BV1556" s="32">
        <f t="shared" ca="1" si="24"/>
        <v>121</v>
      </c>
    </row>
    <row r="1557" spans="74:74" x14ac:dyDescent="0.3">
      <c r="BV1557" s="32">
        <f t="shared" ca="1" si="24"/>
        <v>121</v>
      </c>
    </row>
    <row r="1558" spans="74:74" x14ac:dyDescent="0.3">
      <c r="BV1558" s="32">
        <f t="shared" ca="1" si="24"/>
        <v>121</v>
      </c>
    </row>
    <row r="1559" spans="74:74" x14ac:dyDescent="0.3">
      <c r="BV1559" s="32">
        <f t="shared" ca="1" si="24"/>
        <v>121</v>
      </c>
    </row>
    <row r="1560" spans="74:74" x14ac:dyDescent="0.3">
      <c r="BV1560" s="32">
        <f t="shared" ca="1" si="24"/>
        <v>121</v>
      </c>
    </row>
    <row r="1561" spans="74:74" x14ac:dyDescent="0.3">
      <c r="BV1561" s="32">
        <f t="shared" ca="1" si="24"/>
        <v>121</v>
      </c>
    </row>
    <row r="1562" spans="74:74" x14ac:dyDescent="0.3">
      <c r="BV1562" s="32">
        <f t="shared" ca="1" si="24"/>
        <v>121</v>
      </c>
    </row>
    <row r="1563" spans="74:74" x14ac:dyDescent="0.3">
      <c r="BV1563" s="32">
        <f t="shared" ca="1" si="24"/>
        <v>121</v>
      </c>
    </row>
    <row r="1564" spans="74:74" x14ac:dyDescent="0.3">
      <c r="BV1564" s="32">
        <f t="shared" ca="1" si="24"/>
        <v>121</v>
      </c>
    </row>
    <row r="1565" spans="74:74" x14ac:dyDescent="0.3">
      <c r="BV1565" s="32">
        <f t="shared" ca="1" si="24"/>
        <v>121</v>
      </c>
    </row>
    <row r="1566" spans="74:74" x14ac:dyDescent="0.3">
      <c r="BV1566" s="32">
        <f t="shared" ca="1" si="24"/>
        <v>121</v>
      </c>
    </row>
    <row r="1567" spans="74:74" x14ac:dyDescent="0.3">
      <c r="BV1567" s="32">
        <f t="shared" ca="1" si="24"/>
        <v>121</v>
      </c>
    </row>
    <row r="1568" spans="74:74" x14ac:dyDescent="0.3">
      <c r="BV1568" s="32">
        <f t="shared" ca="1" si="24"/>
        <v>121</v>
      </c>
    </row>
    <row r="1569" spans="74:74" x14ac:dyDescent="0.3">
      <c r="BV1569" s="32">
        <f t="shared" ca="1" si="24"/>
        <v>121</v>
      </c>
    </row>
    <row r="1570" spans="74:74" x14ac:dyDescent="0.3">
      <c r="BV1570" s="32">
        <f t="shared" ca="1" si="24"/>
        <v>121</v>
      </c>
    </row>
    <row r="1571" spans="74:74" x14ac:dyDescent="0.3">
      <c r="BV1571" s="32">
        <f t="shared" ca="1" si="24"/>
        <v>121</v>
      </c>
    </row>
    <row r="1572" spans="74:74" x14ac:dyDescent="0.3">
      <c r="BV1572" s="32">
        <f t="shared" ca="1" si="24"/>
        <v>121</v>
      </c>
    </row>
    <row r="1573" spans="74:74" x14ac:dyDescent="0.3">
      <c r="BV1573" s="32">
        <f t="shared" ca="1" si="24"/>
        <v>121</v>
      </c>
    </row>
    <row r="1574" spans="74:74" x14ac:dyDescent="0.3">
      <c r="BV1574" s="32">
        <f t="shared" ca="1" si="24"/>
        <v>121</v>
      </c>
    </row>
    <row r="1575" spans="74:74" x14ac:dyDescent="0.3">
      <c r="BV1575" s="32">
        <f t="shared" ca="1" si="24"/>
        <v>121</v>
      </c>
    </row>
    <row r="1576" spans="74:74" x14ac:dyDescent="0.3">
      <c r="BV1576" s="32">
        <f t="shared" ca="1" si="24"/>
        <v>121</v>
      </c>
    </row>
    <row r="1577" spans="74:74" x14ac:dyDescent="0.3">
      <c r="BV1577" s="32">
        <f t="shared" ca="1" si="24"/>
        <v>121</v>
      </c>
    </row>
    <row r="1578" spans="74:74" x14ac:dyDescent="0.3">
      <c r="BV1578" s="32">
        <f t="shared" ca="1" si="24"/>
        <v>121</v>
      </c>
    </row>
    <row r="1579" spans="74:74" x14ac:dyDescent="0.3">
      <c r="BV1579" s="32">
        <f t="shared" ca="1" si="24"/>
        <v>121</v>
      </c>
    </row>
    <row r="1580" spans="74:74" x14ac:dyDescent="0.3">
      <c r="BV1580" s="32">
        <f t="shared" ca="1" si="24"/>
        <v>121</v>
      </c>
    </row>
    <row r="1581" spans="74:74" x14ac:dyDescent="0.3">
      <c r="BV1581" s="32">
        <f t="shared" ca="1" si="24"/>
        <v>121</v>
      </c>
    </row>
    <row r="1582" spans="74:74" x14ac:dyDescent="0.3">
      <c r="BV1582" s="32">
        <f t="shared" ca="1" si="24"/>
        <v>121</v>
      </c>
    </row>
    <row r="1583" spans="74:74" x14ac:dyDescent="0.3">
      <c r="BV1583" s="32">
        <f t="shared" ca="1" si="24"/>
        <v>121</v>
      </c>
    </row>
    <row r="1584" spans="74:74" x14ac:dyDescent="0.3">
      <c r="BV1584" s="32">
        <f t="shared" ca="1" si="24"/>
        <v>121</v>
      </c>
    </row>
    <row r="1585" spans="74:74" x14ac:dyDescent="0.3">
      <c r="BV1585" s="32">
        <f t="shared" ca="1" si="24"/>
        <v>121</v>
      </c>
    </row>
    <row r="1586" spans="74:74" x14ac:dyDescent="0.3">
      <c r="BV1586" s="32">
        <f t="shared" ca="1" si="24"/>
        <v>121</v>
      </c>
    </row>
    <row r="1587" spans="74:74" x14ac:dyDescent="0.3">
      <c r="BV1587" s="32">
        <f t="shared" ca="1" si="24"/>
        <v>121</v>
      </c>
    </row>
    <row r="1588" spans="74:74" x14ac:dyDescent="0.3">
      <c r="BV1588" s="32">
        <f t="shared" ca="1" si="24"/>
        <v>121</v>
      </c>
    </row>
    <row r="1589" spans="74:74" x14ac:dyDescent="0.3">
      <c r="BV1589" s="32">
        <f t="shared" ca="1" si="24"/>
        <v>121</v>
      </c>
    </row>
    <row r="1590" spans="74:74" x14ac:dyDescent="0.3">
      <c r="BV1590" s="32">
        <f t="shared" ca="1" si="24"/>
        <v>121</v>
      </c>
    </row>
    <row r="1591" spans="74:74" x14ac:dyDescent="0.3">
      <c r="BV1591" s="32">
        <f t="shared" ca="1" si="24"/>
        <v>121</v>
      </c>
    </row>
    <row r="1592" spans="74:74" x14ac:dyDescent="0.3">
      <c r="BV1592" s="32">
        <f t="shared" ca="1" si="24"/>
        <v>121</v>
      </c>
    </row>
    <row r="1593" spans="74:74" x14ac:dyDescent="0.3">
      <c r="BV1593" s="32">
        <f t="shared" ca="1" si="24"/>
        <v>121</v>
      </c>
    </row>
    <row r="1594" spans="74:74" x14ac:dyDescent="0.3">
      <c r="BV1594" s="32">
        <f t="shared" ca="1" si="24"/>
        <v>121</v>
      </c>
    </row>
    <row r="1595" spans="74:74" x14ac:dyDescent="0.3">
      <c r="BV1595" s="32">
        <f t="shared" ca="1" si="24"/>
        <v>121</v>
      </c>
    </row>
    <row r="1596" spans="74:74" x14ac:dyDescent="0.3">
      <c r="BV1596" s="32">
        <f t="shared" ca="1" si="24"/>
        <v>121</v>
      </c>
    </row>
    <row r="1597" spans="74:74" x14ac:dyDescent="0.3">
      <c r="BV1597" s="32">
        <f t="shared" ca="1" si="24"/>
        <v>121</v>
      </c>
    </row>
    <row r="1598" spans="74:74" x14ac:dyDescent="0.3">
      <c r="BV1598" s="32">
        <f t="shared" ca="1" si="24"/>
        <v>121</v>
      </c>
    </row>
    <row r="1599" spans="74:74" x14ac:dyDescent="0.3">
      <c r="BV1599" s="32">
        <f t="shared" ca="1" si="24"/>
        <v>121</v>
      </c>
    </row>
    <row r="1600" spans="74:74" x14ac:dyDescent="0.3">
      <c r="BV1600" s="32">
        <f t="shared" ca="1" si="24"/>
        <v>121</v>
      </c>
    </row>
    <row r="1601" spans="74:74" x14ac:dyDescent="0.3">
      <c r="BV1601" s="32">
        <f t="shared" ca="1" si="24"/>
        <v>121</v>
      </c>
    </row>
    <row r="1602" spans="74:74" x14ac:dyDescent="0.3">
      <c r="BV1602" s="32">
        <f t="shared" ca="1" si="24"/>
        <v>121</v>
      </c>
    </row>
    <row r="1603" spans="74:74" x14ac:dyDescent="0.3">
      <c r="BV1603" s="32">
        <f t="shared" ca="1" si="24"/>
        <v>121</v>
      </c>
    </row>
    <row r="1604" spans="74:74" x14ac:dyDescent="0.3">
      <c r="BV1604" s="32">
        <f t="shared" ca="1" si="24"/>
        <v>121</v>
      </c>
    </row>
    <row r="1605" spans="74:74" x14ac:dyDescent="0.3">
      <c r="BV1605" s="32">
        <f t="shared" ca="1" si="24"/>
        <v>121</v>
      </c>
    </row>
    <row r="1606" spans="74:74" x14ac:dyDescent="0.3">
      <c r="BV1606" s="32">
        <f t="shared" ca="1" si="24"/>
        <v>121</v>
      </c>
    </row>
    <row r="1607" spans="74:74" x14ac:dyDescent="0.3">
      <c r="BV1607" s="32">
        <f t="shared" ca="1" si="24"/>
        <v>121</v>
      </c>
    </row>
    <row r="1608" spans="74:74" x14ac:dyDescent="0.3">
      <c r="BV1608" s="32">
        <f t="shared" ca="1" si="24"/>
        <v>121</v>
      </c>
    </row>
    <row r="1609" spans="74:74" x14ac:dyDescent="0.3">
      <c r="BV1609" s="32">
        <f t="shared" ca="1" si="24"/>
        <v>121</v>
      </c>
    </row>
    <row r="1610" spans="74:74" x14ac:dyDescent="0.3">
      <c r="BV1610" s="32">
        <f t="shared" ca="1" si="24"/>
        <v>121</v>
      </c>
    </row>
    <row r="1611" spans="74:74" x14ac:dyDescent="0.3">
      <c r="BV1611" s="32">
        <f t="shared" ca="1" si="24"/>
        <v>121</v>
      </c>
    </row>
    <row r="1612" spans="74:74" x14ac:dyDescent="0.3">
      <c r="BV1612" s="32">
        <f t="shared" ca="1" si="24"/>
        <v>121</v>
      </c>
    </row>
    <row r="1613" spans="74:74" x14ac:dyDescent="0.3">
      <c r="BV1613" s="32">
        <f t="shared" ref="BV1613:BV1676" ca="1" si="25">INT((TODAY()-$I1613)/365)</f>
        <v>121</v>
      </c>
    </row>
    <row r="1614" spans="74:74" x14ac:dyDescent="0.3">
      <c r="BV1614" s="32">
        <f t="shared" ca="1" si="25"/>
        <v>121</v>
      </c>
    </row>
    <row r="1615" spans="74:74" x14ac:dyDescent="0.3">
      <c r="BV1615" s="32">
        <f t="shared" ca="1" si="25"/>
        <v>121</v>
      </c>
    </row>
    <row r="1616" spans="74:74" x14ac:dyDescent="0.3">
      <c r="BV1616" s="32">
        <f t="shared" ca="1" si="25"/>
        <v>121</v>
      </c>
    </row>
    <row r="1617" spans="74:74" x14ac:dyDescent="0.3">
      <c r="BV1617" s="32">
        <f t="shared" ca="1" si="25"/>
        <v>121</v>
      </c>
    </row>
    <row r="1618" spans="74:74" x14ac:dyDescent="0.3">
      <c r="BV1618" s="32">
        <f t="shared" ca="1" si="25"/>
        <v>121</v>
      </c>
    </row>
    <row r="1619" spans="74:74" x14ac:dyDescent="0.3">
      <c r="BV1619" s="32">
        <f t="shared" ca="1" si="25"/>
        <v>121</v>
      </c>
    </row>
    <row r="1620" spans="74:74" x14ac:dyDescent="0.3">
      <c r="BV1620" s="32">
        <f t="shared" ca="1" si="25"/>
        <v>121</v>
      </c>
    </row>
    <row r="1621" spans="74:74" x14ac:dyDescent="0.3">
      <c r="BV1621" s="32">
        <f t="shared" ca="1" si="25"/>
        <v>121</v>
      </c>
    </row>
    <row r="1622" spans="74:74" x14ac:dyDescent="0.3">
      <c r="BV1622" s="32">
        <f t="shared" ca="1" si="25"/>
        <v>121</v>
      </c>
    </row>
    <row r="1623" spans="74:74" x14ac:dyDescent="0.3">
      <c r="BV1623" s="32">
        <f t="shared" ca="1" si="25"/>
        <v>121</v>
      </c>
    </row>
    <row r="1624" spans="74:74" x14ac:dyDescent="0.3">
      <c r="BV1624" s="32">
        <f t="shared" ca="1" si="25"/>
        <v>121</v>
      </c>
    </row>
    <row r="1625" spans="74:74" x14ac:dyDescent="0.3">
      <c r="BV1625" s="32">
        <f t="shared" ca="1" si="25"/>
        <v>121</v>
      </c>
    </row>
    <row r="1626" spans="74:74" x14ac:dyDescent="0.3">
      <c r="BV1626" s="32">
        <f t="shared" ca="1" si="25"/>
        <v>121</v>
      </c>
    </row>
    <row r="1627" spans="74:74" x14ac:dyDescent="0.3">
      <c r="BV1627" s="32">
        <f t="shared" ca="1" si="25"/>
        <v>121</v>
      </c>
    </row>
    <row r="1628" spans="74:74" x14ac:dyDescent="0.3">
      <c r="BV1628" s="32">
        <f t="shared" ca="1" si="25"/>
        <v>121</v>
      </c>
    </row>
    <row r="1629" spans="74:74" x14ac:dyDescent="0.3">
      <c r="BV1629" s="32">
        <f t="shared" ca="1" si="25"/>
        <v>121</v>
      </c>
    </row>
    <row r="1630" spans="74:74" x14ac:dyDescent="0.3">
      <c r="BV1630" s="32">
        <f t="shared" ca="1" si="25"/>
        <v>121</v>
      </c>
    </row>
    <row r="1631" spans="74:74" x14ac:dyDescent="0.3">
      <c r="BV1631" s="32">
        <f t="shared" ca="1" si="25"/>
        <v>121</v>
      </c>
    </row>
    <row r="1632" spans="74:74" x14ac:dyDescent="0.3">
      <c r="BV1632" s="32">
        <f t="shared" ca="1" si="25"/>
        <v>121</v>
      </c>
    </row>
    <row r="1633" spans="74:74" x14ac:dyDescent="0.3">
      <c r="BV1633" s="32">
        <f t="shared" ca="1" si="25"/>
        <v>121</v>
      </c>
    </row>
    <row r="1634" spans="74:74" x14ac:dyDescent="0.3">
      <c r="BV1634" s="32">
        <f t="shared" ca="1" si="25"/>
        <v>121</v>
      </c>
    </row>
    <row r="1635" spans="74:74" x14ac:dyDescent="0.3">
      <c r="BV1635" s="32">
        <f t="shared" ca="1" si="25"/>
        <v>121</v>
      </c>
    </row>
    <row r="1636" spans="74:74" x14ac:dyDescent="0.3">
      <c r="BV1636" s="32">
        <f t="shared" ca="1" si="25"/>
        <v>121</v>
      </c>
    </row>
    <row r="1637" spans="74:74" x14ac:dyDescent="0.3">
      <c r="BV1637" s="32">
        <f t="shared" ca="1" si="25"/>
        <v>121</v>
      </c>
    </row>
    <row r="1638" spans="74:74" x14ac:dyDescent="0.3">
      <c r="BV1638" s="32">
        <f t="shared" ca="1" si="25"/>
        <v>121</v>
      </c>
    </row>
    <row r="1639" spans="74:74" x14ac:dyDescent="0.3">
      <c r="BV1639" s="32">
        <f t="shared" ca="1" si="25"/>
        <v>121</v>
      </c>
    </row>
    <row r="1640" spans="74:74" x14ac:dyDescent="0.3">
      <c r="BV1640" s="32">
        <f t="shared" ca="1" si="25"/>
        <v>121</v>
      </c>
    </row>
    <row r="1641" spans="74:74" x14ac:dyDescent="0.3">
      <c r="BV1641" s="32">
        <f t="shared" ca="1" si="25"/>
        <v>121</v>
      </c>
    </row>
    <row r="1642" spans="74:74" x14ac:dyDescent="0.3">
      <c r="BV1642" s="32">
        <f t="shared" ca="1" si="25"/>
        <v>121</v>
      </c>
    </row>
    <row r="1643" spans="74:74" x14ac:dyDescent="0.3">
      <c r="BV1643" s="32">
        <f t="shared" ca="1" si="25"/>
        <v>121</v>
      </c>
    </row>
    <row r="1644" spans="74:74" x14ac:dyDescent="0.3">
      <c r="BV1644" s="32">
        <f t="shared" ca="1" si="25"/>
        <v>121</v>
      </c>
    </row>
    <row r="1645" spans="74:74" x14ac:dyDescent="0.3">
      <c r="BV1645" s="32">
        <f t="shared" ca="1" si="25"/>
        <v>121</v>
      </c>
    </row>
    <row r="1646" spans="74:74" x14ac:dyDescent="0.3">
      <c r="BV1646" s="32">
        <f t="shared" ca="1" si="25"/>
        <v>121</v>
      </c>
    </row>
    <row r="1647" spans="74:74" x14ac:dyDescent="0.3">
      <c r="BV1647" s="32">
        <f t="shared" ca="1" si="25"/>
        <v>121</v>
      </c>
    </row>
    <row r="1648" spans="74:74" x14ac:dyDescent="0.3">
      <c r="BV1648" s="32">
        <f t="shared" ca="1" si="25"/>
        <v>121</v>
      </c>
    </row>
    <row r="1649" spans="74:74" x14ac:dyDescent="0.3">
      <c r="BV1649" s="32">
        <f t="shared" ca="1" si="25"/>
        <v>121</v>
      </c>
    </row>
    <row r="1650" spans="74:74" x14ac:dyDescent="0.3">
      <c r="BV1650" s="32">
        <f t="shared" ca="1" si="25"/>
        <v>121</v>
      </c>
    </row>
    <row r="1651" spans="74:74" x14ac:dyDescent="0.3">
      <c r="BV1651" s="32">
        <f t="shared" ca="1" si="25"/>
        <v>121</v>
      </c>
    </row>
    <row r="1652" spans="74:74" x14ac:dyDescent="0.3">
      <c r="BV1652" s="32">
        <f t="shared" ca="1" si="25"/>
        <v>121</v>
      </c>
    </row>
    <row r="1653" spans="74:74" x14ac:dyDescent="0.3">
      <c r="BV1653" s="32">
        <f t="shared" ca="1" si="25"/>
        <v>121</v>
      </c>
    </row>
    <row r="1654" spans="74:74" x14ac:dyDescent="0.3">
      <c r="BV1654" s="32">
        <f t="shared" ca="1" si="25"/>
        <v>121</v>
      </c>
    </row>
    <row r="1655" spans="74:74" x14ac:dyDescent="0.3">
      <c r="BV1655" s="32">
        <f t="shared" ca="1" si="25"/>
        <v>121</v>
      </c>
    </row>
    <row r="1656" spans="74:74" x14ac:dyDescent="0.3">
      <c r="BV1656" s="32">
        <f t="shared" ca="1" si="25"/>
        <v>121</v>
      </c>
    </row>
    <row r="1657" spans="74:74" x14ac:dyDescent="0.3">
      <c r="BV1657" s="32">
        <f t="shared" ca="1" si="25"/>
        <v>121</v>
      </c>
    </row>
    <row r="1658" spans="74:74" x14ac:dyDescent="0.3">
      <c r="BV1658" s="32">
        <f t="shared" ca="1" si="25"/>
        <v>121</v>
      </c>
    </row>
    <row r="1659" spans="74:74" x14ac:dyDescent="0.3">
      <c r="BV1659" s="32">
        <f t="shared" ca="1" si="25"/>
        <v>121</v>
      </c>
    </row>
    <row r="1660" spans="74:74" x14ac:dyDescent="0.3">
      <c r="BV1660" s="32">
        <f t="shared" ca="1" si="25"/>
        <v>121</v>
      </c>
    </row>
    <row r="1661" spans="74:74" x14ac:dyDescent="0.3">
      <c r="BV1661" s="32">
        <f t="shared" ca="1" si="25"/>
        <v>121</v>
      </c>
    </row>
    <row r="1662" spans="74:74" x14ac:dyDescent="0.3">
      <c r="BV1662" s="32">
        <f t="shared" ca="1" si="25"/>
        <v>121</v>
      </c>
    </row>
    <row r="1663" spans="74:74" x14ac:dyDescent="0.3">
      <c r="BV1663" s="32">
        <f t="shared" ca="1" si="25"/>
        <v>121</v>
      </c>
    </row>
    <row r="1664" spans="74:74" x14ac:dyDescent="0.3">
      <c r="BV1664" s="32">
        <f t="shared" ca="1" si="25"/>
        <v>121</v>
      </c>
    </row>
    <row r="1665" spans="74:74" x14ac:dyDescent="0.3">
      <c r="BV1665" s="32">
        <f t="shared" ca="1" si="25"/>
        <v>121</v>
      </c>
    </row>
    <row r="1666" spans="74:74" x14ac:dyDescent="0.3">
      <c r="BV1666" s="32">
        <f t="shared" ca="1" si="25"/>
        <v>121</v>
      </c>
    </row>
    <row r="1667" spans="74:74" x14ac:dyDescent="0.3">
      <c r="BV1667" s="32">
        <f t="shared" ca="1" si="25"/>
        <v>121</v>
      </c>
    </row>
    <row r="1668" spans="74:74" x14ac:dyDescent="0.3">
      <c r="BV1668" s="32">
        <f t="shared" ca="1" si="25"/>
        <v>121</v>
      </c>
    </row>
    <row r="1669" spans="74:74" x14ac:dyDescent="0.3">
      <c r="BV1669" s="32">
        <f t="shared" ca="1" si="25"/>
        <v>121</v>
      </c>
    </row>
    <row r="1670" spans="74:74" x14ac:dyDescent="0.3">
      <c r="BV1670" s="32">
        <f t="shared" ca="1" si="25"/>
        <v>121</v>
      </c>
    </row>
    <row r="1671" spans="74:74" x14ac:dyDescent="0.3">
      <c r="BV1671" s="32">
        <f t="shared" ca="1" si="25"/>
        <v>121</v>
      </c>
    </row>
    <row r="1672" spans="74:74" x14ac:dyDescent="0.3">
      <c r="BV1672" s="32">
        <f t="shared" ca="1" si="25"/>
        <v>121</v>
      </c>
    </row>
    <row r="1673" spans="74:74" x14ac:dyDescent="0.3">
      <c r="BV1673" s="32">
        <f t="shared" ca="1" si="25"/>
        <v>121</v>
      </c>
    </row>
    <row r="1674" spans="74:74" x14ac:dyDescent="0.3">
      <c r="BV1674" s="32">
        <f t="shared" ca="1" si="25"/>
        <v>121</v>
      </c>
    </row>
    <row r="1675" spans="74:74" x14ac:dyDescent="0.3">
      <c r="BV1675" s="32">
        <f t="shared" ca="1" si="25"/>
        <v>121</v>
      </c>
    </row>
    <row r="1676" spans="74:74" x14ac:dyDescent="0.3">
      <c r="BV1676" s="32">
        <f t="shared" ca="1" si="25"/>
        <v>121</v>
      </c>
    </row>
    <row r="1677" spans="74:74" x14ac:dyDescent="0.3">
      <c r="BV1677" s="32">
        <f t="shared" ref="BV1677:BV1740" ca="1" si="26">INT((TODAY()-$I1677)/365)</f>
        <v>121</v>
      </c>
    </row>
    <row r="1678" spans="74:74" x14ac:dyDescent="0.3">
      <c r="BV1678" s="32">
        <f t="shared" ca="1" si="26"/>
        <v>121</v>
      </c>
    </row>
    <row r="1679" spans="74:74" x14ac:dyDescent="0.3">
      <c r="BV1679" s="32">
        <f t="shared" ca="1" si="26"/>
        <v>121</v>
      </c>
    </row>
    <row r="1680" spans="74:74" x14ac:dyDescent="0.3">
      <c r="BV1680" s="32">
        <f t="shared" ca="1" si="26"/>
        <v>121</v>
      </c>
    </row>
    <row r="1681" spans="74:74" x14ac:dyDescent="0.3">
      <c r="BV1681" s="32">
        <f t="shared" ca="1" si="26"/>
        <v>121</v>
      </c>
    </row>
    <row r="1682" spans="74:74" x14ac:dyDescent="0.3">
      <c r="BV1682" s="32">
        <f t="shared" ca="1" si="26"/>
        <v>121</v>
      </c>
    </row>
    <row r="1683" spans="74:74" x14ac:dyDescent="0.3">
      <c r="BV1683" s="32">
        <f t="shared" ca="1" si="26"/>
        <v>121</v>
      </c>
    </row>
    <row r="1684" spans="74:74" x14ac:dyDescent="0.3">
      <c r="BV1684" s="32">
        <f t="shared" ca="1" si="26"/>
        <v>121</v>
      </c>
    </row>
    <row r="1685" spans="74:74" x14ac:dyDescent="0.3">
      <c r="BV1685" s="32">
        <f t="shared" ca="1" si="26"/>
        <v>121</v>
      </c>
    </row>
    <row r="1686" spans="74:74" x14ac:dyDescent="0.3">
      <c r="BV1686" s="32">
        <f t="shared" ca="1" si="26"/>
        <v>121</v>
      </c>
    </row>
    <row r="1687" spans="74:74" x14ac:dyDescent="0.3">
      <c r="BV1687" s="32">
        <f t="shared" ca="1" si="26"/>
        <v>121</v>
      </c>
    </row>
    <row r="1688" spans="74:74" x14ac:dyDescent="0.3">
      <c r="BV1688" s="32">
        <f t="shared" ca="1" si="26"/>
        <v>121</v>
      </c>
    </row>
    <row r="1689" spans="74:74" x14ac:dyDescent="0.3">
      <c r="BV1689" s="32">
        <f t="shared" ca="1" si="26"/>
        <v>121</v>
      </c>
    </row>
    <row r="1690" spans="74:74" x14ac:dyDescent="0.3">
      <c r="BV1690" s="32">
        <f t="shared" ca="1" si="26"/>
        <v>121</v>
      </c>
    </row>
    <row r="1691" spans="74:74" x14ac:dyDescent="0.3">
      <c r="BV1691" s="32">
        <f t="shared" ca="1" si="26"/>
        <v>121</v>
      </c>
    </row>
    <row r="1692" spans="74:74" x14ac:dyDescent="0.3">
      <c r="BV1692" s="32">
        <f t="shared" ca="1" si="26"/>
        <v>121</v>
      </c>
    </row>
    <row r="1693" spans="74:74" x14ac:dyDescent="0.3">
      <c r="BV1693" s="32">
        <f t="shared" ca="1" si="26"/>
        <v>121</v>
      </c>
    </row>
    <row r="1694" spans="74:74" x14ac:dyDescent="0.3">
      <c r="BV1694" s="32">
        <f t="shared" ca="1" si="26"/>
        <v>121</v>
      </c>
    </row>
    <row r="1695" spans="74:74" x14ac:dyDescent="0.3">
      <c r="BV1695" s="32">
        <f t="shared" ca="1" si="26"/>
        <v>121</v>
      </c>
    </row>
    <row r="1696" spans="74:74" x14ac:dyDescent="0.3">
      <c r="BV1696" s="32">
        <f t="shared" ca="1" si="26"/>
        <v>121</v>
      </c>
    </row>
    <row r="1697" spans="74:74" x14ac:dyDescent="0.3">
      <c r="BV1697" s="32">
        <f t="shared" ca="1" si="26"/>
        <v>121</v>
      </c>
    </row>
    <row r="1698" spans="74:74" x14ac:dyDescent="0.3">
      <c r="BV1698" s="32">
        <f t="shared" ca="1" si="26"/>
        <v>121</v>
      </c>
    </row>
    <row r="1699" spans="74:74" x14ac:dyDescent="0.3">
      <c r="BV1699" s="32">
        <f t="shared" ca="1" si="26"/>
        <v>121</v>
      </c>
    </row>
    <row r="1700" spans="74:74" x14ac:dyDescent="0.3">
      <c r="BV1700" s="32">
        <f t="shared" ca="1" si="26"/>
        <v>121</v>
      </c>
    </row>
    <row r="1701" spans="74:74" x14ac:dyDescent="0.3">
      <c r="BV1701" s="32">
        <f t="shared" ca="1" si="26"/>
        <v>121</v>
      </c>
    </row>
    <row r="1702" spans="74:74" x14ac:dyDescent="0.3">
      <c r="BV1702" s="32">
        <f t="shared" ca="1" si="26"/>
        <v>121</v>
      </c>
    </row>
    <row r="1703" spans="74:74" x14ac:dyDescent="0.3">
      <c r="BV1703" s="32">
        <f t="shared" ca="1" si="26"/>
        <v>121</v>
      </c>
    </row>
    <row r="1704" spans="74:74" x14ac:dyDescent="0.3">
      <c r="BV1704" s="32">
        <f t="shared" ca="1" si="26"/>
        <v>121</v>
      </c>
    </row>
    <row r="1705" spans="74:74" x14ac:dyDescent="0.3">
      <c r="BV1705" s="32">
        <f t="shared" ca="1" si="26"/>
        <v>121</v>
      </c>
    </row>
    <row r="1706" spans="74:74" x14ac:dyDescent="0.3">
      <c r="BV1706" s="32">
        <f t="shared" ca="1" si="26"/>
        <v>121</v>
      </c>
    </row>
    <row r="1707" spans="74:74" x14ac:dyDescent="0.3">
      <c r="BV1707" s="32">
        <f t="shared" ca="1" si="26"/>
        <v>121</v>
      </c>
    </row>
    <row r="1708" spans="74:74" x14ac:dyDescent="0.3">
      <c r="BV1708" s="32">
        <f t="shared" ca="1" si="26"/>
        <v>121</v>
      </c>
    </row>
    <row r="1709" spans="74:74" x14ac:dyDescent="0.3">
      <c r="BV1709" s="32">
        <f t="shared" ca="1" si="26"/>
        <v>121</v>
      </c>
    </row>
    <row r="1710" spans="74:74" x14ac:dyDescent="0.3">
      <c r="BV1710" s="32">
        <f t="shared" ca="1" si="26"/>
        <v>121</v>
      </c>
    </row>
    <row r="1711" spans="74:74" x14ac:dyDescent="0.3">
      <c r="BV1711" s="32">
        <f t="shared" ca="1" si="26"/>
        <v>121</v>
      </c>
    </row>
    <row r="1712" spans="74:74" x14ac:dyDescent="0.3">
      <c r="BV1712" s="32">
        <f t="shared" ca="1" si="26"/>
        <v>121</v>
      </c>
    </row>
    <row r="1713" spans="74:74" x14ac:dyDescent="0.3">
      <c r="BV1713" s="32">
        <f t="shared" ca="1" si="26"/>
        <v>121</v>
      </c>
    </row>
    <row r="1714" spans="74:74" x14ac:dyDescent="0.3">
      <c r="BV1714" s="32">
        <f t="shared" ca="1" si="26"/>
        <v>121</v>
      </c>
    </row>
    <row r="1715" spans="74:74" x14ac:dyDescent="0.3">
      <c r="BV1715" s="32">
        <f t="shared" ca="1" si="26"/>
        <v>121</v>
      </c>
    </row>
    <row r="1716" spans="74:74" x14ac:dyDescent="0.3">
      <c r="BV1716" s="32">
        <f t="shared" ca="1" si="26"/>
        <v>121</v>
      </c>
    </row>
    <row r="1717" spans="74:74" x14ac:dyDescent="0.3">
      <c r="BV1717" s="32">
        <f t="shared" ca="1" si="26"/>
        <v>121</v>
      </c>
    </row>
    <row r="1718" spans="74:74" x14ac:dyDescent="0.3">
      <c r="BV1718" s="32">
        <f t="shared" ca="1" si="26"/>
        <v>121</v>
      </c>
    </row>
    <row r="1719" spans="74:74" x14ac:dyDescent="0.3">
      <c r="BV1719" s="32">
        <f t="shared" ca="1" si="26"/>
        <v>121</v>
      </c>
    </row>
    <row r="1720" spans="74:74" x14ac:dyDescent="0.3">
      <c r="BV1720" s="32">
        <f t="shared" ca="1" si="26"/>
        <v>121</v>
      </c>
    </row>
    <row r="1721" spans="74:74" x14ac:dyDescent="0.3">
      <c r="BV1721" s="32">
        <f t="shared" ca="1" si="26"/>
        <v>121</v>
      </c>
    </row>
    <row r="1722" spans="74:74" x14ac:dyDescent="0.3">
      <c r="BV1722" s="32">
        <f t="shared" ca="1" si="26"/>
        <v>121</v>
      </c>
    </row>
    <row r="1723" spans="74:74" x14ac:dyDescent="0.3">
      <c r="BV1723" s="32">
        <f t="shared" ca="1" si="26"/>
        <v>121</v>
      </c>
    </row>
    <row r="1724" spans="74:74" x14ac:dyDescent="0.3">
      <c r="BV1724" s="32">
        <f t="shared" ca="1" si="26"/>
        <v>121</v>
      </c>
    </row>
    <row r="1725" spans="74:74" x14ac:dyDescent="0.3">
      <c r="BV1725" s="32">
        <f t="shared" ca="1" si="26"/>
        <v>121</v>
      </c>
    </row>
    <row r="1726" spans="74:74" x14ac:dyDescent="0.3">
      <c r="BV1726" s="32">
        <f t="shared" ca="1" si="26"/>
        <v>121</v>
      </c>
    </row>
    <row r="1727" spans="74:74" x14ac:dyDescent="0.3">
      <c r="BV1727" s="32">
        <f t="shared" ca="1" si="26"/>
        <v>121</v>
      </c>
    </row>
    <row r="1728" spans="74:74" x14ac:dyDescent="0.3">
      <c r="BV1728" s="32">
        <f t="shared" ca="1" si="26"/>
        <v>121</v>
      </c>
    </row>
    <row r="1729" spans="74:74" x14ac:dyDescent="0.3">
      <c r="BV1729" s="32">
        <f t="shared" ca="1" si="26"/>
        <v>121</v>
      </c>
    </row>
    <row r="1730" spans="74:74" x14ac:dyDescent="0.3">
      <c r="BV1730" s="32">
        <f t="shared" ca="1" si="26"/>
        <v>121</v>
      </c>
    </row>
    <row r="1731" spans="74:74" x14ac:dyDescent="0.3">
      <c r="BV1731" s="32">
        <f t="shared" ca="1" si="26"/>
        <v>121</v>
      </c>
    </row>
    <row r="1732" spans="74:74" x14ac:dyDescent="0.3">
      <c r="BV1732" s="32">
        <f t="shared" ca="1" si="26"/>
        <v>121</v>
      </c>
    </row>
    <row r="1733" spans="74:74" x14ac:dyDescent="0.3">
      <c r="BV1733" s="32">
        <f t="shared" ca="1" si="26"/>
        <v>121</v>
      </c>
    </row>
    <row r="1734" spans="74:74" x14ac:dyDescent="0.3">
      <c r="BV1734" s="32">
        <f t="shared" ca="1" si="26"/>
        <v>121</v>
      </c>
    </row>
    <row r="1735" spans="74:74" x14ac:dyDescent="0.3">
      <c r="BV1735" s="32">
        <f t="shared" ca="1" si="26"/>
        <v>121</v>
      </c>
    </row>
    <row r="1736" spans="74:74" x14ac:dyDescent="0.3">
      <c r="BV1736" s="32">
        <f t="shared" ca="1" si="26"/>
        <v>121</v>
      </c>
    </row>
    <row r="1737" spans="74:74" x14ac:dyDescent="0.3">
      <c r="BV1737" s="32">
        <f t="shared" ca="1" si="26"/>
        <v>121</v>
      </c>
    </row>
    <row r="1738" spans="74:74" x14ac:dyDescent="0.3">
      <c r="BV1738" s="32">
        <f t="shared" ca="1" si="26"/>
        <v>121</v>
      </c>
    </row>
    <row r="1739" spans="74:74" x14ac:dyDescent="0.3">
      <c r="BV1739" s="32">
        <f t="shared" ca="1" si="26"/>
        <v>121</v>
      </c>
    </row>
    <row r="1740" spans="74:74" x14ac:dyDescent="0.3">
      <c r="BV1740" s="32">
        <f t="shared" ca="1" si="26"/>
        <v>121</v>
      </c>
    </row>
    <row r="1741" spans="74:74" x14ac:dyDescent="0.3">
      <c r="BV1741" s="32">
        <f t="shared" ref="BV1741:BV1804" ca="1" si="27">INT((TODAY()-$I1741)/365)</f>
        <v>121</v>
      </c>
    </row>
    <row r="1742" spans="74:74" x14ac:dyDescent="0.3">
      <c r="BV1742" s="32">
        <f t="shared" ca="1" si="27"/>
        <v>121</v>
      </c>
    </row>
    <row r="1743" spans="74:74" x14ac:dyDescent="0.3">
      <c r="BV1743" s="32">
        <f t="shared" ca="1" si="27"/>
        <v>121</v>
      </c>
    </row>
    <row r="1744" spans="74:74" x14ac:dyDescent="0.3">
      <c r="BV1744" s="32">
        <f t="shared" ca="1" si="27"/>
        <v>121</v>
      </c>
    </row>
    <row r="1745" spans="74:74" x14ac:dyDescent="0.3">
      <c r="BV1745" s="32">
        <f t="shared" ca="1" si="27"/>
        <v>121</v>
      </c>
    </row>
    <row r="1746" spans="74:74" x14ac:dyDescent="0.3">
      <c r="BV1746" s="32">
        <f t="shared" ca="1" si="27"/>
        <v>121</v>
      </c>
    </row>
    <row r="1747" spans="74:74" x14ac:dyDescent="0.3">
      <c r="BV1747" s="32">
        <f t="shared" ca="1" si="27"/>
        <v>121</v>
      </c>
    </row>
    <row r="1748" spans="74:74" x14ac:dyDescent="0.3">
      <c r="BV1748" s="32">
        <f t="shared" ca="1" si="27"/>
        <v>121</v>
      </c>
    </row>
    <row r="1749" spans="74:74" x14ac:dyDescent="0.3">
      <c r="BV1749" s="32">
        <f t="shared" ca="1" si="27"/>
        <v>121</v>
      </c>
    </row>
    <row r="1750" spans="74:74" x14ac:dyDescent="0.3">
      <c r="BV1750" s="32">
        <f t="shared" ca="1" si="27"/>
        <v>121</v>
      </c>
    </row>
    <row r="1751" spans="74:74" x14ac:dyDescent="0.3">
      <c r="BV1751" s="32">
        <f t="shared" ca="1" si="27"/>
        <v>121</v>
      </c>
    </row>
    <row r="1752" spans="74:74" x14ac:dyDescent="0.3">
      <c r="BV1752" s="32">
        <f t="shared" ca="1" si="27"/>
        <v>121</v>
      </c>
    </row>
    <row r="1753" spans="74:74" x14ac:dyDescent="0.3">
      <c r="BV1753" s="32">
        <f t="shared" ca="1" si="27"/>
        <v>121</v>
      </c>
    </row>
    <row r="1754" spans="74:74" x14ac:dyDescent="0.3">
      <c r="BV1754" s="32">
        <f t="shared" ca="1" si="27"/>
        <v>121</v>
      </c>
    </row>
    <row r="1755" spans="74:74" x14ac:dyDescent="0.3">
      <c r="BV1755" s="32">
        <f t="shared" ca="1" si="27"/>
        <v>121</v>
      </c>
    </row>
    <row r="1756" spans="74:74" x14ac:dyDescent="0.3">
      <c r="BV1756" s="32">
        <f t="shared" ca="1" si="27"/>
        <v>121</v>
      </c>
    </row>
    <row r="1757" spans="74:74" x14ac:dyDescent="0.3">
      <c r="BV1757" s="32">
        <f t="shared" ca="1" si="27"/>
        <v>121</v>
      </c>
    </row>
    <row r="1758" spans="74:74" x14ac:dyDescent="0.3">
      <c r="BV1758" s="32">
        <f t="shared" ca="1" si="27"/>
        <v>121</v>
      </c>
    </row>
    <row r="1759" spans="74:74" x14ac:dyDescent="0.3">
      <c r="BV1759" s="32">
        <f t="shared" ca="1" si="27"/>
        <v>121</v>
      </c>
    </row>
    <row r="1760" spans="74:74" x14ac:dyDescent="0.3">
      <c r="BV1760" s="32">
        <f t="shared" ca="1" si="27"/>
        <v>121</v>
      </c>
    </row>
    <row r="1761" spans="74:74" x14ac:dyDescent="0.3">
      <c r="BV1761" s="32">
        <f t="shared" ca="1" si="27"/>
        <v>121</v>
      </c>
    </row>
    <row r="1762" spans="74:74" x14ac:dyDescent="0.3">
      <c r="BV1762" s="32">
        <f t="shared" ca="1" si="27"/>
        <v>121</v>
      </c>
    </row>
    <row r="1763" spans="74:74" x14ac:dyDescent="0.3">
      <c r="BV1763" s="32">
        <f t="shared" ca="1" si="27"/>
        <v>121</v>
      </c>
    </row>
    <row r="1764" spans="74:74" x14ac:dyDescent="0.3">
      <c r="BV1764" s="32">
        <f t="shared" ca="1" si="27"/>
        <v>121</v>
      </c>
    </row>
    <row r="1765" spans="74:74" x14ac:dyDescent="0.3">
      <c r="BV1765" s="32">
        <f t="shared" ca="1" si="27"/>
        <v>121</v>
      </c>
    </row>
    <row r="1766" spans="74:74" x14ac:dyDescent="0.3">
      <c r="BV1766" s="32">
        <f t="shared" ca="1" si="27"/>
        <v>121</v>
      </c>
    </row>
    <row r="1767" spans="74:74" x14ac:dyDescent="0.3">
      <c r="BV1767" s="32">
        <f t="shared" ca="1" si="27"/>
        <v>121</v>
      </c>
    </row>
    <row r="1768" spans="74:74" x14ac:dyDescent="0.3">
      <c r="BV1768" s="32">
        <f t="shared" ca="1" si="27"/>
        <v>121</v>
      </c>
    </row>
    <row r="1769" spans="74:74" x14ac:dyDescent="0.3">
      <c r="BV1769" s="32">
        <f t="shared" ca="1" si="27"/>
        <v>121</v>
      </c>
    </row>
    <row r="1770" spans="74:74" x14ac:dyDescent="0.3">
      <c r="BV1770" s="32">
        <f t="shared" ca="1" si="27"/>
        <v>121</v>
      </c>
    </row>
    <row r="1771" spans="74:74" x14ac:dyDescent="0.3">
      <c r="BV1771" s="32">
        <f t="shared" ca="1" si="27"/>
        <v>121</v>
      </c>
    </row>
    <row r="1772" spans="74:74" x14ac:dyDescent="0.3">
      <c r="BV1772" s="32">
        <f t="shared" ca="1" si="27"/>
        <v>121</v>
      </c>
    </row>
    <row r="1773" spans="74:74" x14ac:dyDescent="0.3">
      <c r="BV1773" s="32">
        <f t="shared" ca="1" si="27"/>
        <v>121</v>
      </c>
    </row>
    <row r="1774" spans="74:74" x14ac:dyDescent="0.3">
      <c r="BV1774" s="32">
        <f t="shared" ca="1" si="27"/>
        <v>121</v>
      </c>
    </row>
    <row r="1775" spans="74:74" x14ac:dyDescent="0.3">
      <c r="BV1775" s="32">
        <f t="shared" ca="1" si="27"/>
        <v>121</v>
      </c>
    </row>
    <row r="1776" spans="74:74" x14ac:dyDescent="0.3">
      <c r="BV1776" s="32">
        <f t="shared" ca="1" si="27"/>
        <v>121</v>
      </c>
    </row>
    <row r="1777" spans="74:74" x14ac:dyDescent="0.3">
      <c r="BV1777" s="32">
        <f t="shared" ca="1" si="27"/>
        <v>121</v>
      </c>
    </row>
    <row r="1778" spans="74:74" x14ac:dyDescent="0.3">
      <c r="BV1778" s="32">
        <f t="shared" ca="1" si="27"/>
        <v>121</v>
      </c>
    </row>
    <row r="1779" spans="74:74" x14ac:dyDescent="0.3">
      <c r="BV1779" s="32">
        <f t="shared" ca="1" si="27"/>
        <v>121</v>
      </c>
    </row>
    <row r="1780" spans="74:74" x14ac:dyDescent="0.3">
      <c r="BV1780" s="32">
        <f t="shared" ca="1" si="27"/>
        <v>121</v>
      </c>
    </row>
    <row r="1781" spans="74:74" x14ac:dyDescent="0.3">
      <c r="BV1781" s="32">
        <f t="shared" ca="1" si="27"/>
        <v>121</v>
      </c>
    </row>
    <row r="1782" spans="74:74" x14ac:dyDescent="0.3">
      <c r="BV1782" s="32">
        <f t="shared" ca="1" si="27"/>
        <v>121</v>
      </c>
    </row>
    <row r="1783" spans="74:74" x14ac:dyDescent="0.3">
      <c r="BV1783" s="32">
        <f t="shared" ca="1" si="27"/>
        <v>121</v>
      </c>
    </row>
    <row r="1784" spans="74:74" x14ac:dyDescent="0.3">
      <c r="BV1784" s="32">
        <f t="shared" ca="1" si="27"/>
        <v>121</v>
      </c>
    </row>
    <row r="1785" spans="74:74" x14ac:dyDescent="0.3">
      <c r="BV1785" s="32">
        <f t="shared" ca="1" si="27"/>
        <v>121</v>
      </c>
    </row>
    <row r="1786" spans="74:74" x14ac:dyDescent="0.3">
      <c r="BV1786" s="32">
        <f t="shared" ca="1" si="27"/>
        <v>121</v>
      </c>
    </row>
    <row r="1787" spans="74:74" x14ac:dyDescent="0.3">
      <c r="BV1787" s="32">
        <f t="shared" ca="1" si="27"/>
        <v>121</v>
      </c>
    </row>
    <row r="1788" spans="74:74" x14ac:dyDescent="0.3">
      <c r="BV1788" s="32">
        <f t="shared" ca="1" si="27"/>
        <v>121</v>
      </c>
    </row>
    <row r="1789" spans="74:74" x14ac:dyDescent="0.3">
      <c r="BV1789" s="32">
        <f t="shared" ca="1" si="27"/>
        <v>121</v>
      </c>
    </row>
    <row r="1790" spans="74:74" x14ac:dyDescent="0.3">
      <c r="BV1790" s="32">
        <f t="shared" ca="1" si="27"/>
        <v>121</v>
      </c>
    </row>
    <row r="1791" spans="74:74" x14ac:dyDescent="0.3">
      <c r="BV1791" s="32">
        <f t="shared" ca="1" si="27"/>
        <v>121</v>
      </c>
    </row>
    <row r="1792" spans="74:74" x14ac:dyDescent="0.3">
      <c r="BV1792" s="32">
        <f t="shared" ca="1" si="27"/>
        <v>121</v>
      </c>
    </row>
    <row r="1793" spans="74:74" x14ac:dyDescent="0.3">
      <c r="BV1793" s="32">
        <f t="shared" ca="1" si="27"/>
        <v>121</v>
      </c>
    </row>
    <row r="1794" spans="74:74" x14ac:dyDescent="0.3">
      <c r="BV1794" s="32">
        <f t="shared" ca="1" si="27"/>
        <v>121</v>
      </c>
    </row>
    <row r="1795" spans="74:74" x14ac:dyDescent="0.3">
      <c r="BV1795" s="32">
        <f t="shared" ca="1" si="27"/>
        <v>121</v>
      </c>
    </row>
    <row r="1796" spans="74:74" x14ac:dyDescent="0.3">
      <c r="BV1796" s="32">
        <f t="shared" ca="1" si="27"/>
        <v>121</v>
      </c>
    </row>
    <row r="1797" spans="74:74" x14ac:dyDescent="0.3">
      <c r="BV1797" s="32">
        <f t="shared" ca="1" si="27"/>
        <v>121</v>
      </c>
    </row>
    <row r="1798" spans="74:74" x14ac:dyDescent="0.3">
      <c r="BV1798" s="32">
        <f t="shared" ca="1" si="27"/>
        <v>121</v>
      </c>
    </row>
    <row r="1799" spans="74:74" x14ac:dyDescent="0.3">
      <c r="BV1799" s="32">
        <f t="shared" ca="1" si="27"/>
        <v>121</v>
      </c>
    </row>
    <row r="1800" spans="74:74" x14ac:dyDescent="0.3">
      <c r="BV1800" s="32">
        <f t="shared" ca="1" si="27"/>
        <v>121</v>
      </c>
    </row>
    <row r="1801" spans="74:74" x14ac:dyDescent="0.3">
      <c r="BV1801" s="32">
        <f t="shared" ca="1" si="27"/>
        <v>121</v>
      </c>
    </row>
    <row r="1802" spans="74:74" x14ac:dyDescent="0.3">
      <c r="BV1802" s="32">
        <f t="shared" ca="1" si="27"/>
        <v>121</v>
      </c>
    </row>
    <row r="1803" spans="74:74" x14ac:dyDescent="0.3">
      <c r="BV1803" s="32">
        <f t="shared" ca="1" si="27"/>
        <v>121</v>
      </c>
    </row>
    <row r="1804" spans="74:74" x14ac:dyDescent="0.3">
      <c r="BV1804" s="32">
        <f t="shared" ca="1" si="27"/>
        <v>121</v>
      </c>
    </row>
    <row r="1805" spans="74:74" x14ac:dyDescent="0.3">
      <c r="BV1805" s="32">
        <f t="shared" ref="BV1805:BV1868" ca="1" si="28">INT((TODAY()-$I1805)/365)</f>
        <v>121</v>
      </c>
    </row>
    <row r="1806" spans="74:74" x14ac:dyDescent="0.3">
      <c r="BV1806" s="32">
        <f t="shared" ca="1" si="28"/>
        <v>121</v>
      </c>
    </row>
    <row r="1807" spans="74:74" x14ac:dyDescent="0.3">
      <c r="BV1807" s="32">
        <f t="shared" ca="1" si="28"/>
        <v>121</v>
      </c>
    </row>
    <row r="1808" spans="74:74" x14ac:dyDescent="0.3">
      <c r="BV1808" s="32">
        <f t="shared" ca="1" si="28"/>
        <v>121</v>
      </c>
    </row>
    <row r="1809" spans="74:74" x14ac:dyDescent="0.3">
      <c r="BV1809" s="32">
        <f t="shared" ca="1" si="28"/>
        <v>121</v>
      </c>
    </row>
    <row r="1810" spans="74:74" x14ac:dyDescent="0.3">
      <c r="BV1810" s="32">
        <f t="shared" ca="1" si="28"/>
        <v>121</v>
      </c>
    </row>
    <row r="1811" spans="74:74" x14ac:dyDescent="0.3">
      <c r="BV1811" s="32">
        <f t="shared" ca="1" si="28"/>
        <v>121</v>
      </c>
    </row>
    <row r="1812" spans="74:74" x14ac:dyDescent="0.3">
      <c r="BV1812" s="32">
        <f t="shared" ca="1" si="28"/>
        <v>121</v>
      </c>
    </row>
    <row r="1813" spans="74:74" x14ac:dyDescent="0.3">
      <c r="BV1813" s="32">
        <f t="shared" ca="1" si="28"/>
        <v>121</v>
      </c>
    </row>
    <row r="1814" spans="74:74" x14ac:dyDescent="0.3">
      <c r="BV1814" s="32">
        <f t="shared" ca="1" si="28"/>
        <v>121</v>
      </c>
    </row>
    <row r="1815" spans="74:74" x14ac:dyDescent="0.3">
      <c r="BV1815" s="32">
        <f t="shared" ca="1" si="28"/>
        <v>121</v>
      </c>
    </row>
    <row r="1816" spans="74:74" x14ac:dyDescent="0.3">
      <c r="BV1816" s="32">
        <f t="shared" ca="1" si="28"/>
        <v>121</v>
      </c>
    </row>
    <row r="1817" spans="74:74" x14ac:dyDescent="0.3">
      <c r="BV1817" s="32">
        <f t="shared" ca="1" si="28"/>
        <v>121</v>
      </c>
    </row>
    <row r="1818" spans="74:74" x14ac:dyDescent="0.3">
      <c r="BV1818" s="32">
        <f t="shared" ca="1" si="28"/>
        <v>121</v>
      </c>
    </row>
    <row r="1819" spans="74:74" x14ac:dyDescent="0.3">
      <c r="BV1819" s="32">
        <f t="shared" ca="1" si="28"/>
        <v>121</v>
      </c>
    </row>
    <row r="1820" spans="74:74" x14ac:dyDescent="0.3">
      <c r="BV1820" s="32">
        <f t="shared" ca="1" si="28"/>
        <v>121</v>
      </c>
    </row>
    <row r="1821" spans="74:74" x14ac:dyDescent="0.3">
      <c r="BV1821" s="32">
        <f t="shared" ca="1" si="28"/>
        <v>121</v>
      </c>
    </row>
    <row r="1822" spans="74:74" x14ac:dyDescent="0.3">
      <c r="BV1822" s="32">
        <f t="shared" ca="1" si="28"/>
        <v>121</v>
      </c>
    </row>
    <row r="1823" spans="74:74" x14ac:dyDescent="0.3">
      <c r="BV1823" s="32">
        <f t="shared" ca="1" si="28"/>
        <v>121</v>
      </c>
    </row>
    <row r="1824" spans="74:74" x14ac:dyDescent="0.3">
      <c r="BV1824" s="32">
        <f t="shared" ca="1" si="28"/>
        <v>121</v>
      </c>
    </row>
    <row r="1825" spans="74:74" x14ac:dyDescent="0.3">
      <c r="BV1825" s="32">
        <f t="shared" ca="1" si="28"/>
        <v>121</v>
      </c>
    </row>
    <row r="1826" spans="74:74" x14ac:dyDescent="0.3">
      <c r="BV1826" s="32">
        <f t="shared" ca="1" si="28"/>
        <v>121</v>
      </c>
    </row>
    <row r="1827" spans="74:74" x14ac:dyDescent="0.3">
      <c r="BV1827" s="32">
        <f t="shared" ca="1" si="28"/>
        <v>121</v>
      </c>
    </row>
    <row r="1828" spans="74:74" x14ac:dyDescent="0.3">
      <c r="BV1828" s="32">
        <f t="shared" ca="1" si="28"/>
        <v>121</v>
      </c>
    </row>
    <row r="1829" spans="74:74" x14ac:dyDescent="0.3">
      <c r="BV1829" s="32">
        <f t="shared" ca="1" si="28"/>
        <v>121</v>
      </c>
    </row>
    <row r="1830" spans="74:74" x14ac:dyDescent="0.3">
      <c r="BV1830" s="32">
        <f t="shared" ca="1" si="28"/>
        <v>121</v>
      </c>
    </row>
    <row r="1831" spans="74:74" x14ac:dyDescent="0.3">
      <c r="BV1831" s="32">
        <f t="shared" ca="1" si="28"/>
        <v>121</v>
      </c>
    </row>
    <row r="1832" spans="74:74" x14ac:dyDescent="0.3">
      <c r="BV1832" s="32">
        <f t="shared" ca="1" si="28"/>
        <v>121</v>
      </c>
    </row>
    <row r="1833" spans="74:74" x14ac:dyDescent="0.3">
      <c r="BV1833" s="32">
        <f t="shared" ca="1" si="28"/>
        <v>121</v>
      </c>
    </row>
    <row r="1834" spans="74:74" x14ac:dyDescent="0.3">
      <c r="BV1834" s="32">
        <f t="shared" ca="1" si="28"/>
        <v>121</v>
      </c>
    </row>
    <row r="1835" spans="74:74" x14ac:dyDescent="0.3">
      <c r="BV1835" s="32">
        <f t="shared" ca="1" si="28"/>
        <v>121</v>
      </c>
    </row>
    <row r="1836" spans="74:74" x14ac:dyDescent="0.3">
      <c r="BV1836" s="32">
        <f t="shared" ca="1" si="28"/>
        <v>121</v>
      </c>
    </row>
    <row r="1837" spans="74:74" x14ac:dyDescent="0.3">
      <c r="BV1837" s="32">
        <f t="shared" ca="1" si="28"/>
        <v>121</v>
      </c>
    </row>
    <row r="1838" spans="74:74" x14ac:dyDescent="0.3">
      <c r="BV1838" s="32">
        <f t="shared" ca="1" si="28"/>
        <v>121</v>
      </c>
    </row>
    <row r="1839" spans="74:74" x14ac:dyDescent="0.3">
      <c r="BV1839" s="32">
        <f t="shared" ca="1" si="28"/>
        <v>121</v>
      </c>
    </row>
    <row r="1840" spans="74:74" x14ac:dyDescent="0.3">
      <c r="BV1840" s="32">
        <f t="shared" ca="1" si="28"/>
        <v>121</v>
      </c>
    </row>
    <row r="1841" spans="74:74" x14ac:dyDescent="0.3">
      <c r="BV1841" s="32">
        <f t="shared" ca="1" si="28"/>
        <v>121</v>
      </c>
    </row>
    <row r="1842" spans="74:74" x14ac:dyDescent="0.3">
      <c r="BV1842" s="32">
        <f t="shared" ca="1" si="28"/>
        <v>121</v>
      </c>
    </row>
    <row r="1843" spans="74:74" x14ac:dyDescent="0.3">
      <c r="BV1843" s="32">
        <f t="shared" ca="1" si="28"/>
        <v>121</v>
      </c>
    </row>
    <row r="1844" spans="74:74" x14ac:dyDescent="0.3">
      <c r="BV1844" s="32">
        <f t="shared" ca="1" si="28"/>
        <v>121</v>
      </c>
    </row>
    <row r="1845" spans="74:74" x14ac:dyDescent="0.3">
      <c r="BV1845" s="32">
        <f t="shared" ca="1" si="28"/>
        <v>121</v>
      </c>
    </row>
    <row r="1846" spans="74:74" x14ac:dyDescent="0.3">
      <c r="BV1846" s="32">
        <f t="shared" ca="1" si="28"/>
        <v>121</v>
      </c>
    </row>
    <row r="1847" spans="74:74" x14ac:dyDescent="0.3">
      <c r="BV1847" s="32">
        <f t="shared" ca="1" si="28"/>
        <v>121</v>
      </c>
    </row>
    <row r="1848" spans="74:74" x14ac:dyDescent="0.3">
      <c r="BV1848" s="32">
        <f t="shared" ca="1" si="28"/>
        <v>121</v>
      </c>
    </row>
    <row r="1849" spans="74:74" x14ac:dyDescent="0.3">
      <c r="BV1849" s="32">
        <f t="shared" ca="1" si="28"/>
        <v>121</v>
      </c>
    </row>
    <row r="1850" spans="74:74" x14ac:dyDescent="0.3">
      <c r="BV1850" s="32">
        <f t="shared" ca="1" si="28"/>
        <v>121</v>
      </c>
    </row>
    <row r="1851" spans="74:74" x14ac:dyDescent="0.3">
      <c r="BV1851" s="32">
        <f t="shared" ca="1" si="28"/>
        <v>121</v>
      </c>
    </row>
    <row r="1852" spans="74:74" x14ac:dyDescent="0.3">
      <c r="BV1852" s="32">
        <f t="shared" ca="1" si="28"/>
        <v>121</v>
      </c>
    </row>
    <row r="1853" spans="74:74" x14ac:dyDescent="0.3">
      <c r="BV1853" s="32">
        <f t="shared" ca="1" si="28"/>
        <v>121</v>
      </c>
    </row>
    <row r="1854" spans="74:74" x14ac:dyDescent="0.3">
      <c r="BV1854" s="32">
        <f t="shared" ca="1" si="28"/>
        <v>121</v>
      </c>
    </row>
    <row r="1855" spans="74:74" x14ac:dyDescent="0.3">
      <c r="BV1855" s="32">
        <f t="shared" ca="1" si="28"/>
        <v>121</v>
      </c>
    </row>
    <row r="1856" spans="74:74" x14ac:dyDescent="0.3">
      <c r="BV1856" s="32">
        <f t="shared" ca="1" si="28"/>
        <v>121</v>
      </c>
    </row>
    <row r="1857" spans="74:74" x14ac:dyDescent="0.3">
      <c r="BV1857" s="32">
        <f t="shared" ca="1" si="28"/>
        <v>121</v>
      </c>
    </row>
    <row r="1858" spans="74:74" x14ac:dyDescent="0.3">
      <c r="BV1858" s="32">
        <f t="shared" ca="1" si="28"/>
        <v>121</v>
      </c>
    </row>
    <row r="1859" spans="74:74" x14ac:dyDescent="0.3">
      <c r="BV1859" s="32">
        <f t="shared" ca="1" si="28"/>
        <v>121</v>
      </c>
    </row>
    <row r="1860" spans="74:74" x14ac:dyDescent="0.3">
      <c r="BV1860" s="32">
        <f t="shared" ca="1" si="28"/>
        <v>121</v>
      </c>
    </row>
    <row r="1861" spans="74:74" x14ac:dyDescent="0.3">
      <c r="BV1861" s="32">
        <f t="shared" ca="1" si="28"/>
        <v>121</v>
      </c>
    </row>
    <row r="1862" spans="74:74" x14ac:dyDescent="0.3">
      <c r="BV1862" s="32">
        <f t="shared" ca="1" si="28"/>
        <v>121</v>
      </c>
    </row>
    <row r="1863" spans="74:74" x14ac:dyDescent="0.3">
      <c r="BV1863" s="32">
        <f t="shared" ca="1" si="28"/>
        <v>121</v>
      </c>
    </row>
    <row r="1864" spans="74:74" x14ac:dyDescent="0.3">
      <c r="BV1864" s="32">
        <f t="shared" ca="1" si="28"/>
        <v>121</v>
      </c>
    </row>
    <row r="1865" spans="74:74" x14ac:dyDescent="0.3">
      <c r="BV1865" s="32">
        <f t="shared" ca="1" si="28"/>
        <v>121</v>
      </c>
    </row>
    <row r="1866" spans="74:74" x14ac:dyDescent="0.3">
      <c r="BV1866" s="32">
        <f t="shared" ca="1" si="28"/>
        <v>121</v>
      </c>
    </row>
    <row r="1867" spans="74:74" x14ac:dyDescent="0.3">
      <c r="BV1867" s="32">
        <f t="shared" ca="1" si="28"/>
        <v>121</v>
      </c>
    </row>
    <row r="1868" spans="74:74" x14ac:dyDescent="0.3">
      <c r="BV1868" s="32">
        <f t="shared" ca="1" si="28"/>
        <v>121</v>
      </c>
    </row>
    <row r="1869" spans="74:74" x14ac:dyDescent="0.3">
      <c r="BV1869" s="32">
        <f t="shared" ref="BV1869:BV1932" ca="1" si="29">INT((TODAY()-$I1869)/365)</f>
        <v>121</v>
      </c>
    </row>
    <row r="1870" spans="74:74" x14ac:dyDescent="0.3">
      <c r="BV1870" s="32">
        <f t="shared" ca="1" si="29"/>
        <v>121</v>
      </c>
    </row>
    <row r="1871" spans="74:74" x14ac:dyDescent="0.3">
      <c r="BV1871" s="32">
        <f t="shared" ca="1" si="29"/>
        <v>121</v>
      </c>
    </row>
    <row r="1872" spans="74:74" x14ac:dyDescent="0.3">
      <c r="BV1872" s="32">
        <f t="shared" ca="1" si="29"/>
        <v>121</v>
      </c>
    </row>
    <row r="1873" spans="74:74" x14ac:dyDescent="0.3">
      <c r="BV1873" s="32">
        <f t="shared" ca="1" si="29"/>
        <v>121</v>
      </c>
    </row>
    <row r="1874" spans="74:74" x14ac:dyDescent="0.3">
      <c r="BV1874" s="32">
        <f t="shared" ca="1" si="29"/>
        <v>121</v>
      </c>
    </row>
    <row r="1875" spans="74:74" x14ac:dyDescent="0.3">
      <c r="BV1875" s="32">
        <f t="shared" ca="1" si="29"/>
        <v>121</v>
      </c>
    </row>
    <row r="1876" spans="74:74" x14ac:dyDescent="0.3">
      <c r="BV1876" s="32">
        <f t="shared" ca="1" si="29"/>
        <v>121</v>
      </c>
    </row>
    <row r="1877" spans="74:74" x14ac:dyDescent="0.3">
      <c r="BV1877" s="32">
        <f t="shared" ca="1" si="29"/>
        <v>121</v>
      </c>
    </row>
    <row r="1878" spans="74:74" x14ac:dyDescent="0.3">
      <c r="BV1878" s="32">
        <f t="shared" ca="1" si="29"/>
        <v>121</v>
      </c>
    </row>
    <row r="1879" spans="74:74" x14ac:dyDescent="0.3">
      <c r="BV1879" s="32">
        <f t="shared" ca="1" si="29"/>
        <v>121</v>
      </c>
    </row>
    <row r="1880" spans="74:74" x14ac:dyDescent="0.3">
      <c r="BV1880" s="32">
        <f t="shared" ca="1" si="29"/>
        <v>121</v>
      </c>
    </row>
    <row r="1881" spans="74:74" x14ac:dyDescent="0.3">
      <c r="BV1881" s="32">
        <f t="shared" ca="1" si="29"/>
        <v>121</v>
      </c>
    </row>
    <row r="1882" spans="74:74" x14ac:dyDescent="0.3">
      <c r="BV1882" s="32">
        <f t="shared" ca="1" si="29"/>
        <v>121</v>
      </c>
    </row>
    <row r="1883" spans="74:74" x14ac:dyDescent="0.3">
      <c r="BV1883" s="32">
        <f t="shared" ca="1" si="29"/>
        <v>121</v>
      </c>
    </row>
    <row r="1884" spans="74:74" x14ac:dyDescent="0.3">
      <c r="BV1884" s="32">
        <f t="shared" ca="1" si="29"/>
        <v>121</v>
      </c>
    </row>
    <row r="1885" spans="74:74" x14ac:dyDescent="0.3">
      <c r="BV1885" s="32">
        <f t="shared" ca="1" si="29"/>
        <v>121</v>
      </c>
    </row>
    <row r="1886" spans="74:74" x14ac:dyDescent="0.3">
      <c r="BV1886" s="32">
        <f t="shared" ca="1" si="29"/>
        <v>121</v>
      </c>
    </row>
    <row r="1887" spans="74:74" x14ac:dyDescent="0.3">
      <c r="BV1887" s="32">
        <f t="shared" ca="1" si="29"/>
        <v>121</v>
      </c>
    </row>
    <row r="1888" spans="74:74" x14ac:dyDescent="0.3">
      <c r="BV1888" s="32">
        <f t="shared" ca="1" si="29"/>
        <v>121</v>
      </c>
    </row>
    <row r="1889" spans="74:74" x14ac:dyDescent="0.3">
      <c r="BV1889" s="32">
        <f t="shared" ca="1" si="29"/>
        <v>121</v>
      </c>
    </row>
    <row r="1890" spans="74:74" x14ac:dyDescent="0.3">
      <c r="BV1890" s="32">
        <f t="shared" ca="1" si="29"/>
        <v>121</v>
      </c>
    </row>
    <row r="1891" spans="74:74" x14ac:dyDescent="0.3">
      <c r="BV1891" s="32">
        <f t="shared" ca="1" si="29"/>
        <v>121</v>
      </c>
    </row>
    <row r="1892" spans="74:74" x14ac:dyDescent="0.3">
      <c r="BV1892" s="32">
        <f t="shared" ca="1" si="29"/>
        <v>121</v>
      </c>
    </row>
    <row r="1893" spans="74:74" x14ac:dyDescent="0.3">
      <c r="BV1893" s="32">
        <f t="shared" ca="1" si="29"/>
        <v>121</v>
      </c>
    </row>
    <row r="1894" spans="74:74" x14ac:dyDescent="0.3">
      <c r="BV1894" s="32">
        <f t="shared" ca="1" si="29"/>
        <v>121</v>
      </c>
    </row>
    <row r="1895" spans="74:74" x14ac:dyDescent="0.3">
      <c r="BV1895" s="32">
        <f t="shared" ca="1" si="29"/>
        <v>121</v>
      </c>
    </row>
    <row r="1896" spans="74:74" x14ac:dyDescent="0.3">
      <c r="BV1896" s="32">
        <f t="shared" ca="1" si="29"/>
        <v>121</v>
      </c>
    </row>
    <row r="1897" spans="74:74" x14ac:dyDescent="0.3">
      <c r="BV1897" s="32">
        <f t="shared" ca="1" si="29"/>
        <v>121</v>
      </c>
    </row>
    <row r="1898" spans="74:74" x14ac:dyDescent="0.3">
      <c r="BV1898" s="32">
        <f t="shared" ca="1" si="29"/>
        <v>121</v>
      </c>
    </row>
    <row r="1899" spans="74:74" x14ac:dyDescent="0.3">
      <c r="BV1899" s="32">
        <f t="shared" ca="1" si="29"/>
        <v>121</v>
      </c>
    </row>
    <row r="1900" spans="74:74" x14ac:dyDescent="0.3">
      <c r="BV1900" s="32">
        <f t="shared" ca="1" si="29"/>
        <v>121</v>
      </c>
    </row>
    <row r="1901" spans="74:74" x14ac:dyDescent="0.3">
      <c r="BV1901" s="32">
        <f t="shared" ca="1" si="29"/>
        <v>121</v>
      </c>
    </row>
    <row r="1902" spans="74:74" x14ac:dyDescent="0.3">
      <c r="BV1902" s="32">
        <f t="shared" ca="1" si="29"/>
        <v>121</v>
      </c>
    </row>
    <row r="1903" spans="74:74" x14ac:dyDescent="0.3">
      <c r="BV1903" s="32">
        <f t="shared" ca="1" si="29"/>
        <v>121</v>
      </c>
    </row>
    <row r="1904" spans="74:74" x14ac:dyDescent="0.3">
      <c r="BV1904" s="32">
        <f t="shared" ca="1" si="29"/>
        <v>121</v>
      </c>
    </row>
    <row r="1905" spans="74:74" x14ac:dyDescent="0.3">
      <c r="BV1905" s="32">
        <f t="shared" ca="1" si="29"/>
        <v>121</v>
      </c>
    </row>
    <row r="1906" spans="74:74" x14ac:dyDescent="0.3">
      <c r="BV1906" s="32">
        <f t="shared" ca="1" si="29"/>
        <v>121</v>
      </c>
    </row>
    <row r="1907" spans="74:74" x14ac:dyDescent="0.3">
      <c r="BV1907" s="32">
        <f t="shared" ca="1" si="29"/>
        <v>121</v>
      </c>
    </row>
    <row r="1908" spans="74:74" x14ac:dyDescent="0.3">
      <c r="BV1908" s="32">
        <f t="shared" ca="1" si="29"/>
        <v>121</v>
      </c>
    </row>
    <row r="1909" spans="74:74" x14ac:dyDescent="0.3">
      <c r="BV1909" s="32">
        <f t="shared" ca="1" si="29"/>
        <v>121</v>
      </c>
    </row>
    <row r="1910" spans="74:74" x14ac:dyDescent="0.3">
      <c r="BV1910" s="32">
        <f t="shared" ca="1" si="29"/>
        <v>121</v>
      </c>
    </row>
    <row r="1911" spans="74:74" x14ac:dyDescent="0.3">
      <c r="BV1911" s="32">
        <f t="shared" ca="1" si="29"/>
        <v>121</v>
      </c>
    </row>
    <row r="1912" spans="74:74" x14ac:dyDescent="0.3">
      <c r="BV1912" s="32">
        <f t="shared" ca="1" si="29"/>
        <v>121</v>
      </c>
    </row>
    <row r="1913" spans="74:74" x14ac:dyDescent="0.3">
      <c r="BV1913" s="32">
        <f t="shared" ca="1" si="29"/>
        <v>121</v>
      </c>
    </row>
    <row r="1914" spans="74:74" x14ac:dyDescent="0.3">
      <c r="BV1914" s="32">
        <f t="shared" ca="1" si="29"/>
        <v>121</v>
      </c>
    </row>
    <row r="1915" spans="74:74" x14ac:dyDescent="0.3">
      <c r="BV1915" s="32">
        <f t="shared" ca="1" si="29"/>
        <v>121</v>
      </c>
    </row>
    <row r="1916" spans="74:74" x14ac:dyDescent="0.3">
      <c r="BV1916" s="32">
        <f t="shared" ca="1" si="29"/>
        <v>121</v>
      </c>
    </row>
    <row r="1917" spans="74:74" x14ac:dyDescent="0.3">
      <c r="BV1917" s="32">
        <f t="shared" ca="1" si="29"/>
        <v>121</v>
      </c>
    </row>
    <row r="1918" spans="74:74" x14ac:dyDescent="0.3">
      <c r="BV1918" s="32">
        <f t="shared" ca="1" si="29"/>
        <v>121</v>
      </c>
    </row>
    <row r="1919" spans="74:74" x14ac:dyDescent="0.3">
      <c r="BV1919" s="32">
        <f t="shared" ca="1" si="29"/>
        <v>121</v>
      </c>
    </row>
    <row r="1920" spans="74:74" x14ac:dyDescent="0.3">
      <c r="BV1920" s="32">
        <f t="shared" ca="1" si="29"/>
        <v>121</v>
      </c>
    </row>
    <row r="1921" spans="74:74" x14ac:dyDescent="0.3">
      <c r="BV1921" s="32">
        <f t="shared" ca="1" si="29"/>
        <v>121</v>
      </c>
    </row>
    <row r="1922" spans="74:74" x14ac:dyDescent="0.3">
      <c r="BV1922" s="32">
        <f t="shared" ca="1" si="29"/>
        <v>121</v>
      </c>
    </row>
    <row r="1923" spans="74:74" x14ac:dyDescent="0.3">
      <c r="BV1923" s="32">
        <f t="shared" ca="1" si="29"/>
        <v>121</v>
      </c>
    </row>
    <row r="1924" spans="74:74" x14ac:dyDescent="0.3">
      <c r="BV1924" s="32">
        <f t="shared" ca="1" si="29"/>
        <v>121</v>
      </c>
    </row>
    <row r="1925" spans="74:74" x14ac:dyDescent="0.3">
      <c r="BV1925" s="32">
        <f t="shared" ca="1" si="29"/>
        <v>121</v>
      </c>
    </row>
    <row r="1926" spans="74:74" x14ac:dyDescent="0.3">
      <c r="BV1926" s="32">
        <f t="shared" ca="1" si="29"/>
        <v>121</v>
      </c>
    </row>
    <row r="1927" spans="74:74" x14ac:dyDescent="0.3">
      <c r="BV1927" s="32">
        <f t="shared" ca="1" si="29"/>
        <v>121</v>
      </c>
    </row>
    <row r="1928" spans="74:74" x14ac:dyDescent="0.3">
      <c r="BV1928" s="32">
        <f t="shared" ca="1" si="29"/>
        <v>121</v>
      </c>
    </row>
    <row r="1929" spans="74:74" x14ac:dyDescent="0.3">
      <c r="BV1929" s="32">
        <f t="shared" ca="1" si="29"/>
        <v>121</v>
      </c>
    </row>
    <row r="1930" spans="74:74" x14ac:dyDescent="0.3">
      <c r="BV1930" s="32">
        <f t="shared" ca="1" si="29"/>
        <v>121</v>
      </c>
    </row>
    <row r="1931" spans="74:74" x14ac:dyDescent="0.3">
      <c r="BV1931" s="32">
        <f t="shared" ca="1" si="29"/>
        <v>121</v>
      </c>
    </row>
    <row r="1932" spans="74:74" x14ac:dyDescent="0.3">
      <c r="BV1932" s="32">
        <f t="shared" ca="1" si="29"/>
        <v>121</v>
      </c>
    </row>
    <row r="1933" spans="74:74" x14ac:dyDescent="0.3">
      <c r="BV1933" s="32">
        <f t="shared" ref="BV1933:BV1996" ca="1" si="30">INT((TODAY()-$I1933)/365)</f>
        <v>121</v>
      </c>
    </row>
    <row r="1934" spans="74:74" x14ac:dyDescent="0.3">
      <c r="BV1934" s="32">
        <f t="shared" ca="1" si="30"/>
        <v>121</v>
      </c>
    </row>
    <row r="1935" spans="74:74" x14ac:dyDescent="0.3">
      <c r="BV1935" s="32">
        <f t="shared" ca="1" si="30"/>
        <v>121</v>
      </c>
    </row>
    <row r="1936" spans="74:74" x14ac:dyDescent="0.3">
      <c r="BV1936" s="32">
        <f t="shared" ca="1" si="30"/>
        <v>121</v>
      </c>
    </row>
    <row r="1937" spans="74:74" x14ac:dyDescent="0.3">
      <c r="BV1937" s="32">
        <f t="shared" ca="1" si="30"/>
        <v>121</v>
      </c>
    </row>
    <row r="1938" spans="74:74" x14ac:dyDescent="0.3">
      <c r="BV1938" s="32">
        <f t="shared" ca="1" si="30"/>
        <v>121</v>
      </c>
    </row>
    <row r="1939" spans="74:74" x14ac:dyDescent="0.3">
      <c r="BV1939" s="32">
        <f t="shared" ca="1" si="30"/>
        <v>121</v>
      </c>
    </row>
    <row r="1940" spans="74:74" x14ac:dyDescent="0.3">
      <c r="BV1940" s="32">
        <f t="shared" ca="1" si="30"/>
        <v>121</v>
      </c>
    </row>
    <row r="1941" spans="74:74" x14ac:dyDescent="0.3">
      <c r="BV1941" s="32">
        <f t="shared" ca="1" si="30"/>
        <v>121</v>
      </c>
    </row>
    <row r="1942" spans="74:74" x14ac:dyDescent="0.3">
      <c r="BV1942" s="32">
        <f t="shared" ca="1" si="30"/>
        <v>121</v>
      </c>
    </row>
    <row r="1943" spans="74:74" x14ac:dyDescent="0.3">
      <c r="BV1943" s="32">
        <f t="shared" ca="1" si="30"/>
        <v>121</v>
      </c>
    </row>
    <row r="1944" spans="74:74" x14ac:dyDescent="0.3">
      <c r="BV1944" s="32">
        <f t="shared" ca="1" si="30"/>
        <v>121</v>
      </c>
    </row>
    <row r="1945" spans="74:74" x14ac:dyDescent="0.3">
      <c r="BV1945" s="32">
        <f t="shared" ca="1" si="30"/>
        <v>121</v>
      </c>
    </row>
    <row r="1946" spans="74:74" x14ac:dyDescent="0.3">
      <c r="BV1946" s="32">
        <f t="shared" ca="1" si="30"/>
        <v>121</v>
      </c>
    </row>
    <row r="1947" spans="74:74" x14ac:dyDescent="0.3">
      <c r="BV1947" s="32">
        <f t="shared" ca="1" si="30"/>
        <v>121</v>
      </c>
    </row>
    <row r="1948" spans="74:74" x14ac:dyDescent="0.3">
      <c r="BV1948" s="32">
        <f t="shared" ca="1" si="30"/>
        <v>121</v>
      </c>
    </row>
    <row r="1949" spans="74:74" x14ac:dyDescent="0.3">
      <c r="BV1949" s="32">
        <f t="shared" ca="1" si="30"/>
        <v>121</v>
      </c>
    </row>
    <row r="1950" spans="74:74" x14ac:dyDescent="0.3">
      <c r="BV1950" s="32">
        <f t="shared" ca="1" si="30"/>
        <v>121</v>
      </c>
    </row>
    <row r="1951" spans="74:74" x14ac:dyDescent="0.3">
      <c r="BV1951" s="32">
        <f t="shared" ca="1" si="30"/>
        <v>121</v>
      </c>
    </row>
    <row r="1952" spans="74:74" x14ac:dyDescent="0.3">
      <c r="BV1952" s="32">
        <f t="shared" ca="1" si="30"/>
        <v>121</v>
      </c>
    </row>
    <row r="1953" spans="74:74" x14ac:dyDescent="0.3">
      <c r="BV1953" s="32">
        <f t="shared" ca="1" si="30"/>
        <v>121</v>
      </c>
    </row>
    <row r="1954" spans="74:74" x14ac:dyDescent="0.3">
      <c r="BV1954" s="32">
        <f t="shared" ca="1" si="30"/>
        <v>121</v>
      </c>
    </row>
    <row r="1955" spans="74:74" x14ac:dyDescent="0.3">
      <c r="BV1955" s="32">
        <f t="shared" ca="1" si="30"/>
        <v>121</v>
      </c>
    </row>
    <row r="1956" spans="74:74" x14ac:dyDescent="0.3">
      <c r="BV1956" s="32">
        <f t="shared" ca="1" si="30"/>
        <v>121</v>
      </c>
    </row>
    <row r="1957" spans="74:74" x14ac:dyDescent="0.3">
      <c r="BV1957" s="32">
        <f t="shared" ca="1" si="30"/>
        <v>121</v>
      </c>
    </row>
    <row r="1958" spans="74:74" x14ac:dyDescent="0.3">
      <c r="BV1958" s="32">
        <f t="shared" ca="1" si="30"/>
        <v>121</v>
      </c>
    </row>
    <row r="1959" spans="74:74" x14ac:dyDescent="0.3">
      <c r="BV1959" s="32">
        <f t="shared" ca="1" si="30"/>
        <v>121</v>
      </c>
    </row>
    <row r="1960" spans="74:74" x14ac:dyDescent="0.3">
      <c r="BV1960" s="32">
        <f t="shared" ca="1" si="30"/>
        <v>121</v>
      </c>
    </row>
    <row r="1961" spans="74:74" x14ac:dyDescent="0.3">
      <c r="BV1961" s="32">
        <f t="shared" ca="1" si="30"/>
        <v>121</v>
      </c>
    </row>
    <row r="1962" spans="74:74" x14ac:dyDescent="0.3">
      <c r="BV1962" s="32">
        <f t="shared" ca="1" si="30"/>
        <v>121</v>
      </c>
    </row>
    <row r="1963" spans="74:74" x14ac:dyDescent="0.3">
      <c r="BV1963" s="32">
        <f t="shared" ca="1" si="30"/>
        <v>121</v>
      </c>
    </row>
    <row r="1964" spans="74:74" x14ac:dyDescent="0.3">
      <c r="BV1964" s="32">
        <f t="shared" ca="1" si="30"/>
        <v>121</v>
      </c>
    </row>
    <row r="1965" spans="74:74" x14ac:dyDescent="0.3">
      <c r="BV1965" s="32">
        <f t="shared" ca="1" si="30"/>
        <v>121</v>
      </c>
    </row>
    <row r="1966" spans="74:74" x14ac:dyDescent="0.3">
      <c r="BV1966" s="32">
        <f t="shared" ca="1" si="30"/>
        <v>121</v>
      </c>
    </row>
    <row r="1967" spans="74:74" x14ac:dyDescent="0.3">
      <c r="BV1967" s="32">
        <f t="shared" ca="1" si="30"/>
        <v>121</v>
      </c>
    </row>
    <row r="1968" spans="74:74" x14ac:dyDescent="0.3">
      <c r="BV1968" s="32">
        <f t="shared" ca="1" si="30"/>
        <v>121</v>
      </c>
    </row>
    <row r="1969" spans="74:74" x14ac:dyDescent="0.3">
      <c r="BV1969" s="32">
        <f t="shared" ca="1" si="30"/>
        <v>121</v>
      </c>
    </row>
    <row r="1970" spans="74:74" x14ac:dyDescent="0.3">
      <c r="BV1970" s="32">
        <f t="shared" ca="1" si="30"/>
        <v>121</v>
      </c>
    </row>
    <row r="1971" spans="74:74" x14ac:dyDescent="0.3">
      <c r="BV1971" s="32">
        <f t="shared" ca="1" si="30"/>
        <v>121</v>
      </c>
    </row>
    <row r="1972" spans="74:74" x14ac:dyDescent="0.3">
      <c r="BV1972" s="32">
        <f t="shared" ca="1" si="30"/>
        <v>121</v>
      </c>
    </row>
    <row r="1973" spans="74:74" x14ac:dyDescent="0.3">
      <c r="BV1973" s="32">
        <f t="shared" ca="1" si="30"/>
        <v>121</v>
      </c>
    </row>
    <row r="1974" spans="74:74" x14ac:dyDescent="0.3">
      <c r="BV1974" s="32">
        <f t="shared" ca="1" si="30"/>
        <v>121</v>
      </c>
    </row>
    <row r="1975" spans="74:74" x14ac:dyDescent="0.3">
      <c r="BV1975" s="32">
        <f t="shared" ca="1" si="30"/>
        <v>121</v>
      </c>
    </row>
    <row r="1976" spans="74:74" x14ac:dyDescent="0.3">
      <c r="BV1976" s="32">
        <f t="shared" ca="1" si="30"/>
        <v>121</v>
      </c>
    </row>
    <row r="1977" spans="74:74" x14ac:dyDescent="0.3">
      <c r="BV1977" s="32">
        <f t="shared" ca="1" si="30"/>
        <v>121</v>
      </c>
    </row>
    <row r="1978" spans="74:74" x14ac:dyDescent="0.3">
      <c r="BV1978" s="32">
        <f t="shared" ca="1" si="30"/>
        <v>121</v>
      </c>
    </row>
    <row r="1979" spans="74:74" x14ac:dyDescent="0.3">
      <c r="BV1979" s="32">
        <f t="shared" ca="1" si="30"/>
        <v>121</v>
      </c>
    </row>
    <row r="1980" spans="74:74" x14ac:dyDescent="0.3">
      <c r="BV1980" s="32">
        <f t="shared" ca="1" si="30"/>
        <v>121</v>
      </c>
    </row>
    <row r="1981" spans="74:74" x14ac:dyDescent="0.3">
      <c r="BV1981" s="32">
        <f t="shared" ca="1" si="30"/>
        <v>121</v>
      </c>
    </row>
    <row r="1982" spans="74:74" x14ac:dyDescent="0.3">
      <c r="BV1982" s="32">
        <f t="shared" ca="1" si="30"/>
        <v>121</v>
      </c>
    </row>
    <row r="1983" spans="74:74" x14ac:dyDescent="0.3">
      <c r="BV1983" s="32">
        <f t="shared" ca="1" si="30"/>
        <v>121</v>
      </c>
    </row>
    <row r="1984" spans="74:74" x14ac:dyDescent="0.3">
      <c r="BV1984" s="32">
        <f t="shared" ca="1" si="30"/>
        <v>121</v>
      </c>
    </row>
    <row r="1985" spans="74:74" x14ac:dyDescent="0.3">
      <c r="BV1985" s="32">
        <f t="shared" ca="1" si="30"/>
        <v>121</v>
      </c>
    </row>
    <row r="1986" spans="74:74" x14ac:dyDescent="0.3">
      <c r="BV1986" s="32">
        <f t="shared" ca="1" si="30"/>
        <v>121</v>
      </c>
    </row>
    <row r="1987" spans="74:74" x14ac:dyDescent="0.3">
      <c r="BV1987" s="32">
        <f t="shared" ca="1" si="30"/>
        <v>121</v>
      </c>
    </row>
    <row r="1988" spans="74:74" x14ac:dyDescent="0.3">
      <c r="BV1988" s="32">
        <f t="shared" ca="1" si="30"/>
        <v>121</v>
      </c>
    </row>
    <row r="1989" spans="74:74" x14ac:dyDescent="0.3">
      <c r="BV1989" s="32">
        <f t="shared" ca="1" si="30"/>
        <v>121</v>
      </c>
    </row>
    <row r="1990" spans="74:74" x14ac:dyDescent="0.3">
      <c r="BV1990" s="32">
        <f t="shared" ca="1" si="30"/>
        <v>121</v>
      </c>
    </row>
    <row r="1991" spans="74:74" x14ac:dyDescent="0.3">
      <c r="BV1991" s="32">
        <f t="shared" ca="1" si="30"/>
        <v>121</v>
      </c>
    </row>
    <row r="1992" spans="74:74" x14ac:dyDescent="0.3">
      <c r="BV1992" s="32">
        <f t="shared" ca="1" si="30"/>
        <v>121</v>
      </c>
    </row>
    <row r="1993" spans="74:74" x14ac:dyDescent="0.3">
      <c r="BV1993" s="32">
        <f t="shared" ca="1" si="30"/>
        <v>121</v>
      </c>
    </row>
    <row r="1994" spans="74:74" x14ac:dyDescent="0.3">
      <c r="BV1994" s="32">
        <f t="shared" ca="1" si="30"/>
        <v>121</v>
      </c>
    </row>
    <row r="1995" spans="74:74" x14ac:dyDescent="0.3">
      <c r="BV1995" s="32">
        <f t="shared" ca="1" si="30"/>
        <v>121</v>
      </c>
    </row>
    <row r="1996" spans="74:74" x14ac:dyDescent="0.3">
      <c r="BV1996" s="32">
        <f t="shared" ca="1" si="30"/>
        <v>121</v>
      </c>
    </row>
    <row r="1997" spans="74:74" x14ac:dyDescent="0.3">
      <c r="BV1997" s="32">
        <f t="shared" ref="BV1997:BV2060" ca="1" si="31">INT((TODAY()-$I1997)/365)</f>
        <v>121</v>
      </c>
    </row>
    <row r="1998" spans="74:74" x14ac:dyDescent="0.3">
      <c r="BV1998" s="32">
        <f t="shared" ca="1" si="31"/>
        <v>121</v>
      </c>
    </row>
    <row r="1999" spans="74:74" x14ac:dyDescent="0.3">
      <c r="BV1999" s="32">
        <f t="shared" ca="1" si="31"/>
        <v>121</v>
      </c>
    </row>
    <row r="2000" spans="74:74" x14ac:dyDescent="0.3">
      <c r="BV2000" s="32">
        <f t="shared" ca="1" si="31"/>
        <v>121</v>
      </c>
    </row>
    <row r="2001" spans="74:74" x14ac:dyDescent="0.3">
      <c r="BV2001" s="32">
        <f t="shared" ca="1" si="31"/>
        <v>121</v>
      </c>
    </row>
    <row r="2002" spans="74:74" x14ac:dyDescent="0.3">
      <c r="BV2002" s="32">
        <f t="shared" ca="1" si="31"/>
        <v>121</v>
      </c>
    </row>
    <row r="2003" spans="74:74" x14ac:dyDescent="0.3">
      <c r="BV2003" s="32">
        <f t="shared" ca="1" si="31"/>
        <v>121</v>
      </c>
    </row>
    <row r="2004" spans="74:74" x14ac:dyDescent="0.3">
      <c r="BV2004" s="32">
        <f t="shared" ca="1" si="31"/>
        <v>121</v>
      </c>
    </row>
    <row r="2005" spans="74:74" x14ac:dyDescent="0.3">
      <c r="BV2005" s="32">
        <f t="shared" ca="1" si="31"/>
        <v>121</v>
      </c>
    </row>
    <row r="2006" spans="74:74" x14ac:dyDescent="0.3">
      <c r="BV2006" s="32">
        <f t="shared" ca="1" si="31"/>
        <v>121</v>
      </c>
    </row>
    <row r="2007" spans="74:74" x14ac:dyDescent="0.3">
      <c r="BV2007" s="32">
        <f t="shared" ca="1" si="31"/>
        <v>121</v>
      </c>
    </row>
    <row r="2008" spans="74:74" x14ac:dyDescent="0.3">
      <c r="BV2008" s="32">
        <f t="shared" ca="1" si="31"/>
        <v>121</v>
      </c>
    </row>
    <row r="2009" spans="74:74" x14ac:dyDescent="0.3">
      <c r="BV2009" s="32">
        <f t="shared" ca="1" si="31"/>
        <v>121</v>
      </c>
    </row>
    <row r="2010" spans="74:74" x14ac:dyDescent="0.3">
      <c r="BV2010" s="32">
        <f t="shared" ca="1" si="31"/>
        <v>121</v>
      </c>
    </row>
    <row r="2011" spans="74:74" x14ac:dyDescent="0.3">
      <c r="BV2011" s="32">
        <f t="shared" ca="1" si="31"/>
        <v>121</v>
      </c>
    </row>
    <row r="2012" spans="74:74" x14ac:dyDescent="0.3">
      <c r="BV2012" s="32">
        <f t="shared" ca="1" si="31"/>
        <v>121</v>
      </c>
    </row>
    <row r="2013" spans="74:74" x14ac:dyDescent="0.3">
      <c r="BV2013" s="32">
        <f t="shared" ca="1" si="31"/>
        <v>121</v>
      </c>
    </row>
    <row r="2014" spans="74:74" x14ac:dyDescent="0.3">
      <c r="BV2014" s="32">
        <f t="shared" ca="1" si="31"/>
        <v>121</v>
      </c>
    </row>
    <row r="2015" spans="74:74" x14ac:dyDescent="0.3">
      <c r="BV2015" s="32">
        <f t="shared" ca="1" si="31"/>
        <v>121</v>
      </c>
    </row>
    <row r="2016" spans="74:74" x14ac:dyDescent="0.3">
      <c r="BV2016" s="32">
        <f t="shared" ca="1" si="31"/>
        <v>121</v>
      </c>
    </row>
    <row r="2017" spans="74:74" x14ac:dyDescent="0.3">
      <c r="BV2017" s="32">
        <f t="shared" ca="1" si="31"/>
        <v>121</v>
      </c>
    </row>
    <row r="2018" spans="74:74" x14ac:dyDescent="0.3">
      <c r="BV2018" s="32">
        <f t="shared" ca="1" si="31"/>
        <v>121</v>
      </c>
    </row>
    <row r="2019" spans="74:74" x14ac:dyDescent="0.3">
      <c r="BV2019" s="32">
        <f t="shared" ca="1" si="31"/>
        <v>121</v>
      </c>
    </row>
    <row r="2020" spans="74:74" x14ac:dyDescent="0.3">
      <c r="BV2020" s="32">
        <f t="shared" ca="1" si="31"/>
        <v>121</v>
      </c>
    </row>
    <row r="2021" spans="74:74" x14ac:dyDescent="0.3">
      <c r="BV2021" s="32">
        <f t="shared" ca="1" si="31"/>
        <v>121</v>
      </c>
    </row>
    <row r="2022" spans="74:74" x14ac:dyDescent="0.3">
      <c r="BV2022" s="32">
        <f t="shared" ca="1" si="31"/>
        <v>121</v>
      </c>
    </row>
    <row r="2023" spans="74:74" x14ac:dyDescent="0.3">
      <c r="BV2023" s="32">
        <f t="shared" ca="1" si="31"/>
        <v>121</v>
      </c>
    </row>
    <row r="2024" spans="74:74" x14ac:dyDescent="0.3">
      <c r="BV2024" s="32">
        <f t="shared" ca="1" si="31"/>
        <v>121</v>
      </c>
    </row>
    <row r="2025" spans="74:74" x14ac:dyDescent="0.3">
      <c r="BV2025" s="32">
        <f t="shared" ca="1" si="31"/>
        <v>121</v>
      </c>
    </row>
    <row r="2026" spans="74:74" x14ac:dyDescent="0.3">
      <c r="BV2026" s="32">
        <f t="shared" ca="1" si="31"/>
        <v>121</v>
      </c>
    </row>
    <row r="2027" spans="74:74" x14ac:dyDescent="0.3">
      <c r="BV2027" s="32">
        <f t="shared" ca="1" si="31"/>
        <v>121</v>
      </c>
    </row>
    <row r="2028" spans="74:74" x14ac:dyDescent="0.3">
      <c r="BV2028" s="32">
        <f t="shared" ca="1" si="31"/>
        <v>121</v>
      </c>
    </row>
    <row r="2029" spans="74:74" x14ac:dyDescent="0.3">
      <c r="BV2029" s="32">
        <f t="shared" ca="1" si="31"/>
        <v>121</v>
      </c>
    </row>
    <row r="2030" spans="74:74" x14ac:dyDescent="0.3">
      <c r="BV2030" s="32">
        <f t="shared" ca="1" si="31"/>
        <v>121</v>
      </c>
    </row>
    <row r="2031" spans="74:74" x14ac:dyDescent="0.3">
      <c r="BV2031" s="32">
        <f t="shared" ca="1" si="31"/>
        <v>121</v>
      </c>
    </row>
    <row r="2032" spans="74:74" x14ac:dyDescent="0.3">
      <c r="BV2032" s="32">
        <f t="shared" ca="1" si="31"/>
        <v>121</v>
      </c>
    </row>
    <row r="2033" spans="74:74" x14ac:dyDescent="0.3">
      <c r="BV2033" s="32">
        <f t="shared" ca="1" si="31"/>
        <v>121</v>
      </c>
    </row>
    <row r="2034" spans="74:74" x14ac:dyDescent="0.3">
      <c r="BV2034" s="32">
        <f t="shared" ca="1" si="31"/>
        <v>121</v>
      </c>
    </row>
    <row r="2035" spans="74:74" x14ac:dyDescent="0.3">
      <c r="BV2035" s="32">
        <f t="shared" ca="1" si="31"/>
        <v>121</v>
      </c>
    </row>
    <row r="2036" spans="74:74" x14ac:dyDescent="0.3">
      <c r="BV2036" s="32">
        <f t="shared" ca="1" si="31"/>
        <v>121</v>
      </c>
    </row>
    <row r="2037" spans="74:74" x14ac:dyDescent="0.3">
      <c r="BV2037" s="32">
        <f t="shared" ca="1" si="31"/>
        <v>121</v>
      </c>
    </row>
    <row r="2038" spans="74:74" x14ac:dyDescent="0.3">
      <c r="BV2038" s="32">
        <f t="shared" ca="1" si="31"/>
        <v>121</v>
      </c>
    </row>
    <row r="2039" spans="74:74" x14ac:dyDescent="0.3">
      <c r="BV2039" s="32">
        <f t="shared" ca="1" si="31"/>
        <v>121</v>
      </c>
    </row>
    <row r="2040" spans="74:74" x14ac:dyDescent="0.3">
      <c r="BV2040" s="32">
        <f t="shared" ca="1" si="31"/>
        <v>121</v>
      </c>
    </row>
    <row r="2041" spans="74:74" x14ac:dyDescent="0.3">
      <c r="BV2041" s="32">
        <f t="shared" ca="1" si="31"/>
        <v>121</v>
      </c>
    </row>
    <row r="2042" spans="74:74" x14ac:dyDescent="0.3">
      <c r="BV2042" s="32">
        <f t="shared" ca="1" si="31"/>
        <v>121</v>
      </c>
    </row>
    <row r="2043" spans="74:74" x14ac:dyDescent="0.3">
      <c r="BV2043" s="32">
        <f t="shared" ca="1" si="31"/>
        <v>121</v>
      </c>
    </row>
    <row r="2044" spans="74:74" x14ac:dyDescent="0.3">
      <c r="BV2044" s="32">
        <f t="shared" ca="1" si="31"/>
        <v>121</v>
      </c>
    </row>
    <row r="2045" spans="74:74" x14ac:dyDescent="0.3">
      <c r="BV2045" s="32">
        <f t="shared" ca="1" si="31"/>
        <v>121</v>
      </c>
    </row>
    <row r="2046" spans="74:74" x14ac:dyDescent="0.3">
      <c r="BV2046" s="32">
        <f t="shared" ca="1" si="31"/>
        <v>121</v>
      </c>
    </row>
    <row r="2047" spans="74:74" x14ac:dyDescent="0.3">
      <c r="BV2047" s="32">
        <f t="shared" ca="1" si="31"/>
        <v>121</v>
      </c>
    </row>
    <row r="2048" spans="74:74" x14ac:dyDescent="0.3">
      <c r="BV2048" s="32">
        <f t="shared" ca="1" si="31"/>
        <v>121</v>
      </c>
    </row>
    <row r="2049" spans="74:74" x14ac:dyDescent="0.3">
      <c r="BV2049" s="32">
        <f t="shared" ca="1" si="31"/>
        <v>121</v>
      </c>
    </row>
    <row r="2050" spans="74:74" x14ac:dyDescent="0.3">
      <c r="BV2050" s="32">
        <f t="shared" ca="1" si="31"/>
        <v>121</v>
      </c>
    </row>
    <row r="2051" spans="74:74" x14ac:dyDescent="0.3">
      <c r="BV2051" s="32">
        <f t="shared" ca="1" si="31"/>
        <v>121</v>
      </c>
    </row>
    <row r="2052" spans="74:74" x14ac:dyDescent="0.3">
      <c r="BV2052" s="32">
        <f t="shared" ca="1" si="31"/>
        <v>121</v>
      </c>
    </row>
    <row r="2053" spans="74:74" x14ac:dyDescent="0.3">
      <c r="BV2053" s="32">
        <f t="shared" ca="1" si="31"/>
        <v>121</v>
      </c>
    </row>
    <row r="2054" spans="74:74" x14ac:dyDescent="0.3">
      <c r="BV2054" s="32">
        <f t="shared" ca="1" si="31"/>
        <v>121</v>
      </c>
    </row>
    <row r="2055" spans="74:74" x14ac:dyDescent="0.3">
      <c r="BV2055" s="32">
        <f t="shared" ca="1" si="31"/>
        <v>121</v>
      </c>
    </row>
    <row r="2056" spans="74:74" x14ac:dyDescent="0.3">
      <c r="BV2056" s="32">
        <f t="shared" ca="1" si="31"/>
        <v>121</v>
      </c>
    </row>
    <row r="2057" spans="74:74" x14ac:dyDescent="0.3">
      <c r="BV2057" s="32">
        <f t="shared" ca="1" si="31"/>
        <v>121</v>
      </c>
    </row>
    <row r="2058" spans="74:74" x14ac:dyDescent="0.3">
      <c r="BV2058" s="32">
        <f t="shared" ca="1" si="31"/>
        <v>121</v>
      </c>
    </row>
    <row r="2059" spans="74:74" x14ac:dyDescent="0.3">
      <c r="BV2059" s="32">
        <f t="shared" ca="1" si="31"/>
        <v>121</v>
      </c>
    </row>
    <row r="2060" spans="74:74" x14ac:dyDescent="0.3">
      <c r="BV2060" s="32">
        <f t="shared" ca="1" si="31"/>
        <v>121</v>
      </c>
    </row>
    <row r="2061" spans="74:74" x14ac:dyDescent="0.3">
      <c r="BV2061" s="32">
        <f t="shared" ref="BV2061:BV2124" ca="1" si="32">INT((TODAY()-$I2061)/365)</f>
        <v>121</v>
      </c>
    </row>
    <row r="2062" spans="74:74" x14ac:dyDescent="0.3">
      <c r="BV2062" s="32">
        <f t="shared" ca="1" si="32"/>
        <v>121</v>
      </c>
    </row>
    <row r="2063" spans="74:74" x14ac:dyDescent="0.3">
      <c r="BV2063" s="32">
        <f t="shared" ca="1" si="32"/>
        <v>121</v>
      </c>
    </row>
    <row r="2064" spans="74:74" x14ac:dyDescent="0.3">
      <c r="BV2064" s="32">
        <f t="shared" ca="1" si="32"/>
        <v>121</v>
      </c>
    </row>
    <row r="2065" spans="74:74" x14ac:dyDescent="0.3">
      <c r="BV2065" s="32">
        <f t="shared" ca="1" si="32"/>
        <v>121</v>
      </c>
    </row>
    <row r="2066" spans="74:74" x14ac:dyDescent="0.3">
      <c r="BV2066" s="32">
        <f t="shared" ca="1" si="32"/>
        <v>121</v>
      </c>
    </row>
    <row r="2067" spans="74:74" x14ac:dyDescent="0.3">
      <c r="BV2067" s="32">
        <f t="shared" ca="1" si="32"/>
        <v>121</v>
      </c>
    </row>
    <row r="2068" spans="74:74" x14ac:dyDescent="0.3">
      <c r="BV2068" s="32">
        <f t="shared" ca="1" si="32"/>
        <v>121</v>
      </c>
    </row>
    <row r="2069" spans="74:74" x14ac:dyDescent="0.3">
      <c r="BV2069" s="32">
        <f t="shared" ca="1" si="32"/>
        <v>121</v>
      </c>
    </row>
    <row r="2070" spans="74:74" x14ac:dyDescent="0.3">
      <c r="BV2070" s="32">
        <f t="shared" ca="1" si="32"/>
        <v>121</v>
      </c>
    </row>
    <row r="2071" spans="74:74" x14ac:dyDescent="0.3">
      <c r="BV2071" s="32">
        <f t="shared" ca="1" si="32"/>
        <v>121</v>
      </c>
    </row>
    <row r="2072" spans="74:74" x14ac:dyDescent="0.3">
      <c r="BV2072" s="32">
        <f t="shared" ca="1" si="32"/>
        <v>121</v>
      </c>
    </row>
    <row r="2073" spans="74:74" x14ac:dyDescent="0.3">
      <c r="BV2073" s="32">
        <f t="shared" ca="1" si="32"/>
        <v>121</v>
      </c>
    </row>
    <row r="2074" spans="74:74" x14ac:dyDescent="0.3">
      <c r="BV2074" s="32">
        <f t="shared" ca="1" si="32"/>
        <v>121</v>
      </c>
    </row>
    <row r="2075" spans="74:74" x14ac:dyDescent="0.3">
      <c r="BV2075" s="32">
        <f t="shared" ca="1" si="32"/>
        <v>121</v>
      </c>
    </row>
    <row r="2076" spans="74:74" x14ac:dyDescent="0.3">
      <c r="BV2076" s="32">
        <f t="shared" ca="1" si="32"/>
        <v>121</v>
      </c>
    </row>
    <row r="2077" spans="74:74" x14ac:dyDescent="0.3">
      <c r="BV2077" s="32">
        <f t="shared" ca="1" si="32"/>
        <v>121</v>
      </c>
    </row>
    <row r="2078" spans="74:74" x14ac:dyDescent="0.3">
      <c r="BV2078" s="32">
        <f t="shared" ca="1" si="32"/>
        <v>121</v>
      </c>
    </row>
    <row r="2079" spans="74:74" x14ac:dyDescent="0.3">
      <c r="BV2079" s="32">
        <f t="shared" ca="1" si="32"/>
        <v>121</v>
      </c>
    </row>
    <row r="2080" spans="74:74" x14ac:dyDescent="0.3">
      <c r="BV2080" s="32">
        <f t="shared" ca="1" si="32"/>
        <v>121</v>
      </c>
    </row>
    <row r="2081" spans="74:74" x14ac:dyDescent="0.3">
      <c r="BV2081" s="32">
        <f t="shared" ca="1" si="32"/>
        <v>121</v>
      </c>
    </row>
    <row r="2082" spans="74:74" x14ac:dyDescent="0.3">
      <c r="BV2082" s="32">
        <f t="shared" ca="1" si="32"/>
        <v>121</v>
      </c>
    </row>
    <row r="2083" spans="74:74" x14ac:dyDescent="0.3">
      <c r="BV2083" s="32">
        <f t="shared" ca="1" si="32"/>
        <v>121</v>
      </c>
    </row>
    <row r="2084" spans="74:74" x14ac:dyDescent="0.3">
      <c r="BV2084" s="32">
        <f t="shared" ca="1" si="32"/>
        <v>121</v>
      </c>
    </row>
    <row r="2085" spans="74:74" x14ac:dyDescent="0.3">
      <c r="BV2085" s="32">
        <f t="shared" ca="1" si="32"/>
        <v>121</v>
      </c>
    </row>
    <row r="2086" spans="74:74" x14ac:dyDescent="0.3">
      <c r="BV2086" s="32">
        <f t="shared" ca="1" si="32"/>
        <v>121</v>
      </c>
    </row>
    <row r="2087" spans="74:74" x14ac:dyDescent="0.3">
      <c r="BV2087" s="32">
        <f t="shared" ca="1" si="32"/>
        <v>121</v>
      </c>
    </row>
    <row r="2088" spans="74:74" x14ac:dyDescent="0.3">
      <c r="BV2088" s="32">
        <f t="shared" ca="1" si="32"/>
        <v>121</v>
      </c>
    </row>
    <row r="2089" spans="74:74" x14ac:dyDescent="0.3">
      <c r="BV2089" s="32">
        <f t="shared" ca="1" si="32"/>
        <v>121</v>
      </c>
    </row>
    <row r="2090" spans="74:74" x14ac:dyDescent="0.3">
      <c r="BV2090" s="32">
        <f t="shared" ca="1" si="32"/>
        <v>121</v>
      </c>
    </row>
    <row r="2091" spans="74:74" x14ac:dyDescent="0.3">
      <c r="BV2091" s="32">
        <f t="shared" ca="1" si="32"/>
        <v>121</v>
      </c>
    </row>
    <row r="2092" spans="74:74" x14ac:dyDescent="0.3">
      <c r="BV2092" s="32">
        <f t="shared" ca="1" si="32"/>
        <v>121</v>
      </c>
    </row>
    <row r="2093" spans="74:74" x14ac:dyDescent="0.3">
      <c r="BV2093" s="32">
        <f t="shared" ca="1" si="32"/>
        <v>121</v>
      </c>
    </row>
    <row r="2094" spans="74:74" x14ac:dyDescent="0.3">
      <c r="BV2094" s="32">
        <f t="shared" ca="1" si="32"/>
        <v>121</v>
      </c>
    </row>
    <row r="2095" spans="74:74" x14ac:dyDescent="0.3">
      <c r="BV2095" s="32">
        <f t="shared" ca="1" si="32"/>
        <v>121</v>
      </c>
    </row>
    <row r="2096" spans="74:74" x14ac:dyDescent="0.3">
      <c r="BV2096" s="32">
        <f t="shared" ca="1" si="32"/>
        <v>121</v>
      </c>
    </row>
    <row r="2097" spans="74:74" x14ac:dyDescent="0.3">
      <c r="BV2097" s="32">
        <f t="shared" ca="1" si="32"/>
        <v>121</v>
      </c>
    </row>
    <row r="2098" spans="74:74" x14ac:dyDescent="0.3">
      <c r="BV2098" s="32">
        <f t="shared" ca="1" si="32"/>
        <v>121</v>
      </c>
    </row>
    <row r="2099" spans="74:74" x14ac:dyDescent="0.3">
      <c r="BV2099" s="32">
        <f t="shared" ca="1" si="32"/>
        <v>121</v>
      </c>
    </row>
    <row r="2100" spans="74:74" x14ac:dyDescent="0.3">
      <c r="BV2100" s="32">
        <f t="shared" ca="1" si="32"/>
        <v>121</v>
      </c>
    </row>
    <row r="2101" spans="74:74" x14ac:dyDescent="0.3">
      <c r="BV2101" s="32">
        <f t="shared" ca="1" si="32"/>
        <v>121</v>
      </c>
    </row>
    <row r="2102" spans="74:74" x14ac:dyDescent="0.3">
      <c r="BV2102" s="32">
        <f t="shared" ca="1" si="32"/>
        <v>121</v>
      </c>
    </row>
    <row r="2103" spans="74:74" x14ac:dyDescent="0.3">
      <c r="BV2103" s="32">
        <f t="shared" ca="1" si="32"/>
        <v>121</v>
      </c>
    </row>
    <row r="2104" spans="74:74" x14ac:dyDescent="0.3">
      <c r="BV2104" s="32">
        <f t="shared" ca="1" si="32"/>
        <v>121</v>
      </c>
    </row>
    <row r="2105" spans="74:74" x14ac:dyDescent="0.3">
      <c r="BV2105" s="32">
        <f t="shared" ca="1" si="32"/>
        <v>121</v>
      </c>
    </row>
    <row r="2106" spans="74:74" x14ac:dyDescent="0.3">
      <c r="BV2106" s="32">
        <f t="shared" ca="1" si="32"/>
        <v>121</v>
      </c>
    </row>
    <row r="2107" spans="74:74" x14ac:dyDescent="0.3">
      <c r="BV2107" s="32">
        <f t="shared" ca="1" si="32"/>
        <v>121</v>
      </c>
    </row>
    <row r="2108" spans="74:74" x14ac:dyDescent="0.3">
      <c r="BV2108" s="32">
        <f t="shared" ca="1" si="32"/>
        <v>121</v>
      </c>
    </row>
    <row r="2109" spans="74:74" x14ac:dyDescent="0.3">
      <c r="BV2109" s="32">
        <f t="shared" ca="1" si="32"/>
        <v>121</v>
      </c>
    </row>
    <row r="2110" spans="74:74" x14ac:dyDescent="0.3">
      <c r="BV2110" s="32">
        <f t="shared" ca="1" si="32"/>
        <v>121</v>
      </c>
    </row>
    <row r="2111" spans="74:74" x14ac:dyDescent="0.3">
      <c r="BV2111" s="32">
        <f t="shared" ca="1" si="32"/>
        <v>121</v>
      </c>
    </row>
    <row r="2112" spans="74:74" x14ac:dyDescent="0.3">
      <c r="BV2112" s="32">
        <f t="shared" ca="1" si="32"/>
        <v>121</v>
      </c>
    </row>
    <row r="2113" spans="74:74" x14ac:dyDescent="0.3">
      <c r="BV2113" s="32">
        <f t="shared" ca="1" si="32"/>
        <v>121</v>
      </c>
    </row>
    <row r="2114" spans="74:74" x14ac:dyDescent="0.3">
      <c r="BV2114" s="32">
        <f t="shared" ca="1" si="32"/>
        <v>121</v>
      </c>
    </row>
    <row r="2115" spans="74:74" x14ac:dyDescent="0.3">
      <c r="BV2115" s="32">
        <f t="shared" ca="1" si="32"/>
        <v>121</v>
      </c>
    </row>
    <row r="2116" spans="74:74" x14ac:dyDescent="0.3">
      <c r="BV2116" s="32">
        <f t="shared" ca="1" si="32"/>
        <v>121</v>
      </c>
    </row>
    <row r="2117" spans="74:74" x14ac:dyDescent="0.3">
      <c r="BV2117" s="32">
        <f t="shared" ca="1" si="32"/>
        <v>121</v>
      </c>
    </row>
    <row r="2118" spans="74:74" x14ac:dyDescent="0.3">
      <c r="BV2118" s="32">
        <f t="shared" ca="1" si="32"/>
        <v>121</v>
      </c>
    </row>
    <row r="2119" spans="74:74" x14ac:dyDescent="0.3">
      <c r="BV2119" s="32">
        <f t="shared" ca="1" si="32"/>
        <v>121</v>
      </c>
    </row>
    <row r="2120" spans="74:74" x14ac:dyDescent="0.3">
      <c r="BV2120" s="32">
        <f t="shared" ca="1" si="32"/>
        <v>121</v>
      </c>
    </row>
    <row r="2121" spans="74:74" x14ac:dyDescent="0.3">
      <c r="BV2121" s="32">
        <f t="shared" ca="1" si="32"/>
        <v>121</v>
      </c>
    </row>
    <row r="2122" spans="74:74" x14ac:dyDescent="0.3">
      <c r="BV2122" s="32">
        <f t="shared" ca="1" si="32"/>
        <v>121</v>
      </c>
    </row>
    <row r="2123" spans="74:74" x14ac:dyDescent="0.3">
      <c r="BV2123" s="32">
        <f t="shared" ca="1" si="32"/>
        <v>121</v>
      </c>
    </row>
    <row r="2124" spans="74:74" x14ac:dyDescent="0.3">
      <c r="BV2124" s="32">
        <f t="shared" ca="1" si="32"/>
        <v>121</v>
      </c>
    </row>
    <row r="2125" spans="74:74" x14ac:dyDescent="0.3">
      <c r="BV2125" s="32">
        <f t="shared" ref="BV2125:BV2188" ca="1" si="33">INT((TODAY()-$I2125)/365)</f>
        <v>121</v>
      </c>
    </row>
    <row r="2126" spans="74:74" x14ac:dyDescent="0.3">
      <c r="BV2126" s="32">
        <f t="shared" ca="1" si="33"/>
        <v>121</v>
      </c>
    </row>
    <row r="2127" spans="74:74" x14ac:dyDescent="0.3">
      <c r="BV2127" s="32">
        <f t="shared" ca="1" si="33"/>
        <v>121</v>
      </c>
    </row>
    <row r="2128" spans="74:74" x14ac:dyDescent="0.3">
      <c r="BV2128" s="32">
        <f t="shared" ca="1" si="33"/>
        <v>121</v>
      </c>
    </row>
    <row r="2129" spans="74:74" x14ac:dyDescent="0.3">
      <c r="BV2129" s="32">
        <f t="shared" ca="1" si="33"/>
        <v>121</v>
      </c>
    </row>
    <row r="2130" spans="74:74" x14ac:dyDescent="0.3">
      <c r="BV2130" s="32">
        <f t="shared" ca="1" si="33"/>
        <v>121</v>
      </c>
    </row>
    <row r="2131" spans="74:74" x14ac:dyDescent="0.3">
      <c r="BV2131" s="32">
        <f t="shared" ca="1" si="33"/>
        <v>121</v>
      </c>
    </row>
    <row r="2132" spans="74:74" x14ac:dyDescent="0.3">
      <c r="BV2132" s="32">
        <f t="shared" ca="1" si="33"/>
        <v>121</v>
      </c>
    </row>
    <row r="2133" spans="74:74" x14ac:dyDescent="0.3">
      <c r="BV2133" s="32">
        <f t="shared" ca="1" si="33"/>
        <v>121</v>
      </c>
    </row>
    <row r="2134" spans="74:74" x14ac:dyDescent="0.3">
      <c r="BV2134" s="32">
        <f t="shared" ca="1" si="33"/>
        <v>121</v>
      </c>
    </row>
    <row r="2135" spans="74:74" x14ac:dyDescent="0.3">
      <c r="BV2135" s="32">
        <f t="shared" ca="1" si="33"/>
        <v>121</v>
      </c>
    </row>
    <row r="2136" spans="74:74" x14ac:dyDescent="0.3">
      <c r="BV2136" s="32">
        <f t="shared" ca="1" si="33"/>
        <v>121</v>
      </c>
    </row>
    <row r="2137" spans="74:74" x14ac:dyDescent="0.3">
      <c r="BV2137" s="32">
        <f t="shared" ca="1" si="33"/>
        <v>121</v>
      </c>
    </row>
    <row r="2138" spans="74:74" x14ac:dyDescent="0.3">
      <c r="BV2138" s="32">
        <f t="shared" ca="1" si="33"/>
        <v>121</v>
      </c>
    </row>
    <row r="2139" spans="74:74" x14ac:dyDescent="0.3">
      <c r="BV2139" s="32">
        <f t="shared" ca="1" si="33"/>
        <v>121</v>
      </c>
    </row>
    <row r="2140" spans="74:74" x14ac:dyDescent="0.3">
      <c r="BV2140" s="32">
        <f t="shared" ca="1" si="33"/>
        <v>121</v>
      </c>
    </row>
    <row r="2141" spans="74:74" x14ac:dyDescent="0.3">
      <c r="BV2141" s="32">
        <f t="shared" ca="1" si="33"/>
        <v>121</v>
      </c>
    </row>
    <row r="2142" spans="74:74" x14ac:dyDescent="0.3">
      <c r="BV2142" s="32">
        <f t="shared" ca="1" si="33"/>
        <v>121</v>
      </c>
    </row>
    <row r="2143" spans="74:74" x14ac:dyDescent="0.3">
      <c r="BV2143" s="32">
        <f t="shared" ca="1" si="33"/>
        <v>121</v>
      </c>
    </row>
    <row r="2144" spans="74:74" x14ac:dyDescent="0.3">
      <c r="BV2144" s="32">
        <f t="shared" ca="1" si="33"/>
        <v>121</v>
      </c>
    </row>
    <row r="2145" spans="74:74" x14ac:dyDescent="0.3">
      <c r="BV2145" s="32">
        <f t="shared" ca="1" si="33"/>
        <v>121</v>
      </c>
    </row>
    <row r="2146" spans="74:74" x14ac:dyDescent="0.3">
      <c r="BV2146" s="32">
        <f t="shared" ca="1" si="33"/>
        <v>121</v>
      </c>
    </row>
    <row r="2147" spans="74:74" x14ac:dyDescent="0.3">
      <c r="BV2147" s="32">
        <f t="shared" ca="1" si="33"/>
        <v>121</v>
      </c>
    </row>
    <row r="2148" spans="74:74" x14ac:dyDescent="0.3">
      <c r="BV2148" s="32">
        <f t="shared" ca="1" si="33"/>
        <v>121</v>
      </c>
    </row>
    <row r="2149" spans="74:74" x14ac:dyDescent="0.3">
      <c r="BV2149" s="32">
        <f t="shared" ca="1" si="33"/>
        <v>121</v>
      </c>
    </row>
    <row r="2150" spans="74:74" x14ac:dyDescent="0.3">
      <c r="BV2150" s="32">
        <f t="shared" ca="1" si="33"/>
        <v>121</v>
      </c>
    </row>
    <row r="2151" spans="74:74" x14ac:dyDescent="0.3">
      <c r="BV2151" s="32">
        <f t="shared" ca="1" si="33"/>
        <v>121</v>
      </c>
    </row>
    <row r="2152" spans="74:74" x14ac:dyDescent="0.3">
      <c r="BV2152" s="32">
        <f t="shared" ca="1" si="33"/>
        <v>121</v>
      </c>
    </row>
    <row r="2153" spans="74:74" x14ac:dyDescent="0.3">
      <c r="BV2153" s="32">
        <f t="shared" ca="1" si="33"/>
        <v>121</v>
      </c>
    </row>
    <row r="2154" spans="74:74" x14ac:dyDescent="0.3">
      <c r="BV2154" s="32">
        <f t="shared" ca="1" si="33"/>
        <v>121</v>
      </c>
    </row>
    <row r="2155" spans="74:74" x14ac:dyDescent="0.3">
      <c r="BV2155" s="32">
        <f t="shared" ca="1" si="33"/>
        <v>121</v>
      </c>
    </row>
    <row r="2156" spans="74:74" x14ac:dyDescent="0.3">
      <c r="BV2156" s="32">
        <f t="shared" ca="1" si="33"/>
        <v>121</v>
      </c>
    </row>
    <row r="2157" spans="74:74" x14ac:dyDescent="0.3">
      <c r="BV2157" s="32">
        <f t="shared" ca="1" si="33"/>
        <v>121</v>
      </c>
    </row>
    <row r="2158" spans="74:74" x14ac:dyDescent="0.3">
      <c r="BV2158" s="32">
        <f t="shared" ca="1" si="33"/>
        <v>121</v>
      </c>
    </row>
    <row r="2159" spans="74:74" x14ac:dyDescent="0.3">
      <c r="BV2159" s="32">
        <f t="shared" ca="1" si="33"/>
        <v>121</v>
      </c>
    </row>
    <row r="2160" spans="74:74" x14ac:dyDescent="0.3">
      <c r="BV2160" s="32">
        <f t="shared" ca="1" si="33"/>
        <v>121</v>
      </c>
    </row>
    <row r="2161" spans="74:74" x14ac:dyDescent="0.3">
      <c r="BV2161" s="32">
        <f t="shared" ca="1" si="33"/>
        <v>121</v>
      </c>
    </row>
    <row r="2162" spans="74:74" x14ac:dyDescent="0.3">
      <c r="BV2162" s="32">
        <f t="shared" ca="1" si="33"/>
        <v>121</v>
      </c>
    </row>
    <row r="2163" spans="74:74" x14ac:dyDescent="0.3">
      <c r="BV2163" s="32">
        <f t="shared" ca="1" si="33"/>
        <v>121</v>
      </c>
    </row>
    <row r="2164" spans="74:74" x14ac:dyDescent="0.3">
      <c r="BV2164" s="32">
        <f t="shared" ca="1" si="33"/>
        <v>121</v>
      </c>
    </row>
    <row r="2165" spans="74:74" x14ac:dyDescent="0.3">
      <c r="BV2165" s="32">
        <f t="shared" ca="1" si="33"/>
        <v>121</v>
      </c>
    </row>
    <row r="2166" spans="74:74" x14ac:dyDescent="0.3">
      <c r="BV2166" s="32">
        <f t="shared" ca="1" si="33"/>
        <v>121</v>
      </c>
    </row>
    <row r="2167" spans="74:74" x14ac:dyDescent="0.3">
      <c r="BV2167" s="32">
        <f t="shared" ca="1" si="33"/>
        <v>121</v>
      </c>
    </row>
    <row r="2168" spans="74:74" x14ac:dyDescent="0.3">
      <c r="BV2168" s="32">
        <f t="shared" ca="1" si="33"/>
        <v>121</v>
      </c>
    </row>
    <row r="2169" spans="74:74" x14ac:dyDescent="0.3">
      <c r="BV2169" s="32">
        <f t="shared" ca="1" si="33"/>
        <v>121</v>
      </c>
    </row>
    <row r="2170" spans="74:74" x14ac:dyDescent="0.3">
      <c r="BV2170" s="32">
        <f t="shared" ca="1" si="33"/>
        <v>121</v>
      </c>
    </row>
    <row r="2171" spans="74:74" x14ac:dyDescent="0.3">
      <c r="BV2171" s="32">
        <f t="shared" ca="1" si="33"/>
        <v>121</v>
      </c>
    </row>
    <row r="2172" spans="74:74" x14ac:dyDescent="0.3">
      <c r="BV2172" s="32">
        <f t="shared" ca="1" si="33"/>
        <v>121</v>
      </c>
    </row>
    <row r="2173" spans="74:74" x14ac:dyDescent="0.3">
      <c r="BV2173" s="32">
        <f t="shared" ca="1" si="33"/>
        <v>121</v>
      </c>
    </row>
    <row r="2174" spans="74:74" x14ac:dyDescent="0.3">
      <c r="BV2174" s="32">
        <f t="shared" ca="1" si="33"/>
        <v>121</v>
      </c>
    </row>
    <row r="2175" spans="74:74" x14ac:dyDescent="0.3">
      <c r="BV2175" s="32">
        <f t="shared" ca="1" si="33"/>
        <v>121</v>
      </c>
    </row>
    <row r="2176" spans="74:74" x14ac:dyDescent="0.3">
      <c r="BV2176" s="32">
        <f t="shared" ca="1" si="33"/>
        <v>121</v>
      </c>
    </row>
    <row r="2177" spans="74:74" x14ac:dyDescent="0.3">
      <c r="BV2177" s="32">
        <f t="shared" ca="1" si="33"/>
        <v>121</v>
      </c>
    </row>
    <row r="2178" spans="74:74" x14ac:dyDescent="0.3">
      <c r="BV2178" s="32">
        <f t="shared" ca="1" si="33"/>
        <v>121</v>
      </c>
    </row>
    <row r="2179" spans="74:74" x14ac:dyDescent="0.3">
      <c r="BV2179" s="32">
        <f t="shared" ca="1" si="33"/>
        <v>121</v>
      </c>
    </row>
    <row r="2180" spans="74:74" x14ac:dyDescent="0.3">
      <c r="BV2180" s="32">
        <f t="shared" ca="1" si="33"/>
        <v>121</v>
      </c>
    </row>
    <row r="2181" spans="74:74" x14ac:dyDescent="0.3">
      <c r="BV2181" s="32">
        <f t="shared" ca="1" si="33"/>
        <v>121</v>
      </c>
    </row>
    <row r="2182" spans="74:74" x14ac:dyDescent="0.3">
      <c r="BV2182" s="32">
        <f t="shared" ca="1" si="33"/>
        <v>121</v>
      </c>
    </row>
    <row r="2183" spans="74:74" x14ac:dyDescent="0.3">
      <c r="BV2183" s="32">
        <f t="shared" ca="1" si="33"/>
        <v>121</v>
      </c>
    </row>
    <row r="2184" spans="74:74" x14ac:dyDescent="0.3">
      <c r="BV2184" s="32">
        <f t="shared" ca="1" si="33"/>
        <v>121</v>
      </c>
    </row>
    <row r="2185" spans="74:74" x14ac:dyDescent="0.3">
      <c r="BV2185" s="32">
        <f t="shared" ca="1" si="33"/>
        <v>121</v>
      </c>
    </row>
    <row r="2186" spans="74:74" x14ac:dyDescent="0.3">
      <c r="BV2186" s="32">
        <f t="shared" ca="1" si="33"/>
        <v>121</v>
      </c>
    </row>
    <row r="2187" spans="74:74" x14ac:dyDescent="0.3">
      <c r="BV2187" s="32">
        <f t="shared" ca="1" si="33"/>
        <v>121</v>
      </c>
    </row>
    <row r="2188" spans="74:74" x14ac:dyDescent="0.3">
      <c r="BV2188" s="32">
        <f t="shared" ca="1" si="33"/>
        <v>121</v>
      </c>
    </row>
    <row r="2189" spans="74:74" x14ac:dyDescent="0.3">
      <c r="BV2189" s="32">
        <f t="shared" ref="BV2189:BV2252" ca="1" si="34">INT((TODAY()-$I2189)/365)</f>
        <v>121</v>
      </c>
    </row>
    <row r="2190" spans="74:74" x14ac:dyDescent="0.3">
      <c r="BV2190" s="32">
        <f t="shared" ca="1" si="34"/>
        <v>121</v>
      </c>
    </row>
    <row r="2191" spans="74:74" x14ac:dyDescent="0.3">
      <c r="BV2191" s="32">
        <f t="shared" ca="1" si="34"/>
        <v>121</v>
      </c>
    </row>
    <row r="2192" spans="74:74" x14ac:dyDescent="0.3">
      <c r="BV2192" s="32">
        <f t="shared" ca="1" si="34"/>
        <v>121</v>
      </c>
    </row>
    <row r="2193" spans="74:74" x14ac:dyDescent="0.3">
      <c r="BV2193" s="32">
        <f t="shared" ca="1" si="34"/>
        <v>121</v>
      </c>
    </row>
    <row r="2194" spans="74:74" x14ac:dyDescent="0.3">
      <c r="BV2194" s="32">
        <f t="shared" ca="1" si="34"/>
        <v>121</v>
      </c>
    </row>
    <row r="2195" spans="74:74" x14ac:dyDescent="0.3">
      <c r="BV2195" s="32">
        <f t="shared" ca="1" si="34"/>
        <v>121</v>
      </c>
    </row>
    <row r="2196" spans="74:74" x14ac:dyDescent="0.3">
      <c r="BV2196" s="32">
        <f t="shared" ca="1" si="34"/>
        <v>121</v>
      </c>
    </row>
    <row r="2197" spans="74:74" x14ac:dyDescent="0.3">
      <c r="BV2197" s="32">
        <f t="shared" ca="1" si="34"/>
        <v>121</v>
      </c>
    </row>
    <row r="2198" spans="74:74" x14ac:dyDescent="0.3">
      <c r="BV2198" s="32">
        <f t="shared" ca="1" si="34"/>
        <v>121</v>
      </c>
    </row>
    <row r="2199" spans="74:74" x14ac:dyDescent="0.3">
      <c r="BV2199" s="32">
        <f t="shared" ca="1" si="34"/>
        <v>121</v>
      </c>
    </row>
    <row r="2200" spans="74:74" x14ac:dyDescent="0.3">
      <c r="BV2200" s="32">
        <f t="shared" ca="1" si="34"/>
        <v>121</v>
      </c>
    </row>
    <row r="2201" spans="74:74" x14ac:dyDescent="0.3">
      <c r="BV2201" s="32">
        <f t="shared" ca="1" si="34"/>
        <v>121</v>
      </c>
    </row>
    <row r="2202" spans="74:74" x14ac:dyDescent="0.3">
      <c r="BV2202" s="32">
        <f t="shared" ca="1" si="34"/>
        <v>121</v>
      </c>
    </row>
    <row r="2203" spans="74:74" x14ac:dyDescent="0.3">
      <c r="BV2203" s="32">
        <f t="shared" ca="1" si="34"/>
        <v>121</v>
      </c>
    </row>
    <row r="2204" spans="74:74" x14ac:dyDescent="0.3">
      <c r="BV2204" s="32">
        <f t="shared" ca="1" si="34"/>
        <v>121</v>
      </c>
    </row>
    <row r="2205" spans="74:74" x14ac:dyDescent="0.3">
      <c r="BV2205" s="32">
        <f t="shared" ca="1" si="34"/>
        <v>121</v>
      </c>
    </row>
    <row r="2206" spans="74:74" x14ac:dyDescent="0.3">
      <c r="BV2206" s="32">
        <f t="shared" ca="1" si="34"/>
        <v>121</v>
      </c>
    </row>
    <row r="2207" spans="74:74" x14ac:dyDescent="0.3">
      <c r="BV2207" s="32">
        <f t="shared" ca="1" si="34"/>
        <v>121</v>
      </c>
    </row>
    <row r="2208" spans="74:74" x14ac:dyDescent="0.3">
      <c r="BV2208" s="32">
        <f t="shared" ca="1" si="34"/>
        <v>121</v>
      </c>
    </row>
    <row r="2209" spans="74:74" x14ac:dyDescent="0.3">
      <c r="BV2209" s="32">
        <f t="shared" ca="1" si="34"/>
        <v>121</v>
      </c>
    </row>
    <row r="2210" spans="74:74" x14ac:dyDescent="0.3">
      <c r="BV2210" s="32">
        <f t="shared" ca="1" si="34"/>
        <v>121</v>
      </c>
    </row>
    <row r="2211" spans="74:74" x14ac:dyDescent="0.3">
      <c r="BV2211" s="32">
        <f t="shared" ca="1" si="34"/>
        <v>121</v>
      </c>
    </row>
    <row r="2212" spans="74:74" x14ac:dyDescent="0.3">
      <c r="BV2212" s="32">
        <f t="shared" ca="1" si="34"/>
        <v>121</v>
      </c>
    </row>
    <row r="2213" spans="74:74" x14ac:dyDescent="0.3">
      <c r="BV2213" s="32">
        <f t="shared" ca="1" si="34"/>
        <v>121</v>
      </c>
    </row>
    <row r="2214" spans="74:74" x14ac:dyDescent="0.3">
      <c r="BV2214" s="32">
        <f t="shared" ca="1" si="34"/>
        <v>121</v>
      </c>
    </row>
    <row r="2215" spans="74:74" x14ac:dyDescent="0.3">
      <c r="BV2215" s="32">
        <f t="shared" ca="1" si="34"/>
        <v>121</v>
      </c>
    </row>
    <row r="2216" spans="74:74" x14ac:dyDescent="0.3">
      <c r="BV2216" s="32">
        <f t="shared" ca="1" si="34"/>
        <v>121</v>
      </c>
    </row>
    <row r="2217" spans="74:74" x14ac:dyDescent="0.3">
      <c r="BV2217" s="32">
        <f t="shared" ca="1" si="34"/>
        <v>121</v>
      </c>
    </row>
    <row r="2218" spans="74:74" x14ac:dyDescent="0.3">
      <c r="BV2218" s="32">
        <f t="shared" ca="1" si="34"/>
        <v>121</v>
      </c>
    </row>
    <row r="2219" spans="74:74" x14ac:dyDescent="0.3">
      <c r="BV2219" s="32">
        <f t="shared" ca="1" si="34"/>
        <v>121</v>
      </c>
    </row>
    <row r="2220" spans="74:74" x14ac:dyDescent="0.3">
      <c r="BV2220" s="32">
        <f t="shared" ca="1" si="34"/>
        <v>121</v>
      </c>
    </row>
    <row r="2221" spans="74:74" x14ac:dyDescent="0.3">
      <c r="BV2221" s="32">
        <f t="shared" ca="1" si="34"/>
        <v>121</v>
      </c>
    </row>
    <row r="2222" spans="74:74" x14ac:dyDescent="0.3">
      <c r="BV2222" s="32">
        <f t="shared" ca="1" si="34"/>
        <v>121</v>
      </c>
    </row>
    <row r="2223" spans="74:74" x14ac:dyDescent="0.3">
      <c r="BV2223" s="32">
        <f t="shared" ca="1" si="34"/>
        <v>121</v>
      </c>
    </row>
    <row r="2224" spans="74:74" x14ac:dyDescent="0.3">
      <c r="BV2224" s="32">
        <f t="shared" ca="1" si="34"/>
        <v>121</v>
      </c>
    </row>
    <row r="2225" spans="74:74" x14ac:dyDescent="0.3">
      <c r="BV2225" s="32">
        <f t="shared" ca="1" si="34"/>
        <v>121</v>
      </c>
    </row>
    <row r="2226" spans="74:74" x14ac:dyDescent="0.3">
      <c r="BV2226" s="32">
        <f t="shared" ca="1" si="34"/>
        <v>121</v>
      </c>
    </row>
    <row r="2227" spans="74:74" x14ac:dyDescent="0.3">
      <c r="BV2227" s="32">
        <f t="shared" ca="1" si="34"/>
        <v>121</v>
      </c>
    </row>
    <row r="2228" spans="74:74" x14ac:dyDescent="0.3">
      <c r="BV2228" s="32">
        <f t="shared" ca="1" si="34"/>
        <v>121</v>
      </c>
    </row>
    <row r="2229" spans="74:74" x14ac:dyDescent="0.3">
      <c r="BV2229" s="32">
        <f t="shared" ca="1" si="34"/>
        <v>121</v>
      </c>
    </row>
    <row r="2230" spans="74:74" x14ac:dyDescent="0.3">
      <c r="BV2230" s="32">
        <f t="shared" ca="1" si="34"/>
        <v>121</v>
      </c>
    </row>
    <row r="2231" spans="74:74" x14ac:dyDescent="0.3">
      <c r="BV2231" s="32">
        <f t="shared" ca="1" si="34"/>
        <v>121</v>
      </c>
    </row>
    <row r="2232" spans="74:74" x14ac:dyDescent="0.3">
      <c r="BV2232" s="32">
        <f t="shared" ca="1" si="34"/>
        <v>121</v>
      </c>
    </row>
    <row r="2233" spans="74:74" x14ac:dyDescent="0.3">
      <c r="BV2233" s="32">
        <f t="shared" ca="1" si="34"/>
        <v>121</v>
      </c>
    </row>
    <row r="2234" spans="74:74" x14ac:dyDescent="0.3">
      <c r="BV2234" s="32">
        <f t="shared" ca="1" si="34"/>
        <v>121</v>
      </c>
    </row>
    <row r="2235" spans="74:74" x14ac:dyDescent="0.3">
      <c r="BV2235" s="32">
        <f t="shared" ca="1" si="34"/>
        <v>121</v>
      </c>
    </row>
    <row r="2236" spans="74:74" x14ac:dyDescent="0.3">
      <c r="BV2236" s="32">
        <f t="shared" ca="1" si="34"/>
        <v>121</v>
      </c>
    </row>
    <row r="2237" spans="74:74" x14ac:dyDescent="0.3">
      <c r="BV2237" s="32">
        <f t="shared" ca="1" si="34"/>
        <v>121</v>
      </c>
    </row>
    <row r="2238" spans="74:74" x14ac:dyDescent="0.3">
      <c r="BV2238" s="32">
        <f t="shared" ca="1" si="34"/>
        <v>121</v>
      </c>
    </row>
    <row r="2239" spans="74:74" x14ac:dyDescent="0.3">
      <c r="BV2239" s="32">
        <f t="shared" ca="1" si="34"/>
        <v>121</v>
      </c>
    </row>
    <row r="2240" spans="74:74" x14ac:dyDescent="0.3">
      <c r="BV2240" s="32">
        <f t="shared" ca="1" si="34"/>
        <v>121</v>
      </c>
    </row>
    <row r="2241" spans="74:74" x14ac:dyDescent="0.3">
      <c r="BV2241" s="32">
        <f t="shared" ca="1" si="34"/>
        <v>121</v>
      </c>
    </row>
    <row r="2242" spans="74:74" x14ac:dyDescent="0.3">
      <c r="BV2242" s="32">
        <f t="shared" ca="1" si="34"/>
        <v>121</v>
      </c>
    </row>
    <row r="2243" spans="74:74" x14ac:dyDescent="0.3">
      <c r="BV2243" s="32">
        <f t="shared" ca="1" si="34"/>
        <v>121</v>
      </c>
    </row>
    <row r="2244" spans="74:74" x14ac:dyDescent="0.3">
      <c r="BV2244" s="32">
        <f t="shared" ca="1" si="34"/>
        <v>121</v>
      </c>
    </row>
    <row r="2245" spans="74:74" x14ac:dyDescent="0.3">
      <c r="BV2245" s="32">
        <f t="shared" ca="1" si="34"/>
        <v>121</v>
      </c>
    </row>
    <row r="2246" spans="74:74" x14ac:dyDescent="0.3">
      <c r="BV2246" s="32">
        <f t="shared" ca="1" si="34"/>
        <v>121</v>
      </c>
    </row>
    <row r="2247" spans="74:74" x14ac:dyDescent="0.3">
      <c r="BV2247" s="32">
        <f t="shared" ca="1" si="34"/>
        <v>121</v>
      </c>
    </row>
    <row r="2248" spans="74:74" x14ac:dyDescent="0.3">
      <c r="BV2248" s="32">
        <f t="shared" ca="1" si="34"/>
        <v>121</v>
      </c>
    </row>
    <row r="2249" spans="74:74" x14ac:dyDescent="0.3">
      <c r="BV2249" s="32">
        <f t="shared" ca="1" si="34"/>
        <v>121</v>
      </c>
    </row>
    <row r="2250" spans="74:74" x14ac:dyDescent="0.3">
      <c r="BV2250" s="32">
        <f t="shared" ca="1" si="34"/>
        <v>121</v>
      </c>
    </row>
    <row r="2251" spans="74:74" x14ac:dyDescent="0.3">
      <c r="BV2251" s="32">
        <f t="shared" ca="1" si="34"/>
        <v>121</v>
      </c>
    </row>
    <row r="2252" spans="74:74" x14ac:dyDescent="0.3">
      <c r="BV2252" s="32">
        <f t="shared" ca="1" si="34"/>
        <v>121</v>
      </c>
    </row>
    <row r="2253" spans="74:74" x14ac:dyDescent="0.3">
      <c r="BV2253" s="32">
        <f t="shared" ref="BV2253:BV2316" ca="1" si="35">INT((TODAY()-$I2253)/365)</f>
        <v>121</v>
      </c>
    </row>
    <row r="2254" spans="74:74" x14ac:dyDescent="0.3">
      <c r="BV2254" s="32">
        <f t="shared" ca="1" si="35"/>
        <v>121</v>
      </c>
    </row>
    <row r="2255" spans="74:74" x14ac:dyDescent="0.3">
      <c r="BV2255" s="32">
        <f t="shared" ca="1" si="35"/>
        <v>121</v>
      </c>
    </row>
    <row r="2256" spans="74:74" x14ac:dyDescent="0.3">
      <c r="BV2256" s="32">
        <f t="shared" ca="1" si="35"/>
        <v>121</v>
      </c>
    </row>
    <row r="2257" spans="74:74" x14ac:dyDescent="0.3">
      <c r="BV2257" s="32">
        <f t="shared" ca="1" si="35"/>
        <v>121</v>
      </c>
    </row>
    <row r="2258" spans="74:74" x14ac:dyDescent="0.3">
      <c r="BV2258" s="32">
        <f t="shared" ca="1" si="35"/>
        <v>121</v>
      </c>
    </row>
    <row r="2259" spans="74:74" x14ac:dyDescent="0.3">
      <c r="BV2259" s="32">
        <f t="shared" ca="1" si="35"/>
        <v>121</v>
      </c>
    </row>
    <row r="2260" spans="74:74" x14ac:dyDescent="0.3">
      <c r="BV2260" s="32">
        <f t="shared" ca="1" si="35"/>
        <v>121</v>
      </c>
    </row>
    <row r="2261" spans="74:74" x14ac:dyDescent="0.3">
      <c r="BV2261" s="32">
        <f t="shared" ca="1" si="35"/>
        <v>121</v>
      </c>
    </row>
    <row r="2262" spans="74:74" x14ac:dyDescent="0.3">
      <c r="BV2262" s="32">
        <f t="shared" ca="1" si="35"/>
        <v>121</v>
      </c>
    </row>
    <row r="2263" spans="74:74" x14ac:dyDescent="0.3">
      <c r="BV2263" s="32">
        <f t="shared" ca="1" si="35"/>
        <v>121</v>
      </c>
    </row>
    <row r="2264" spans="74:74" x14ac:dyDescent="0.3">
      <c r="BV2264" s="32">
        <f t="shared" ca="1" si="35"/>
        <v>121</v>
      </c>
    </row>
    <row r="2265" spans="74:74" x14ac:dyDescent="0.3">
      <c r="BV2265" s="32">
        <f t="shared" ca="1" si="35"/>
        <v>121</v>
      </c>
    </row>
    <row r="2266" spans="74:74" x14ac:dyDescent="0.3">
      <c r="BV2266" s="32">
        <f t="shared" ca="1" si="35"/>
        <v>121</v>
      </c>
    </row>
    <row r="2267" spans="74:74" x14ac:dyDescent="0.3">
      <c r="BV2267" s="32">
        <f t="shared" ca="1" si="35"/>
        <v>121</v>
      </c>
    </row>
    <row r="2268" spans="74:74" x14ac:dyDescent="0.3">
      <c r="BV2268" s="32">
        <f t="shared" ca="1" si="35"/>
        <v>121</v>
      </c>
    </row>
    <row r="2269" spans="74:74" x14ac:dyDescent="0.3">
      <c r="BV2269" s="32">
        <f t="shared" ca="1" si="35"/>
        <v>121</v>
      </c>
    </row>
    <row r="2270" spans="74:74" x14ac:dyDescent="0.3">
      <c r="BV2270" s="32">
        <f t="shared" ca="1" si="35"/>
        <v>121</v>
      </c>
    </row>
    <row r="2271" spans="74:74" x14ac:dyDescent="0.3">
      <c r="BV2271" s="32">
        <f t="shared" ca="1" si="35"/>
        <v>121</v>
      </c>
    </row>
    <row r="2272" spans="74:74" x14ac:dyDescent="0.3">
      <c r="BV2272" s="32">
        <f t="shared" ca="1" si="35"/>
        <v>121</v>
      </c>
    </row>
    <row r="2273" spans="74:74" x14ac:dyDescent="0.3">
      <c r="BV2273" s="32">
        <f t="shared" ca="1" si="35"/>
        <v>121</v>
      </c>
    </row>
    <row r="2274" spans="74:74" x14ac:dyDescent="0.3">
      <c r="BV2274" s="32">
        <f t="shared" ca="1" si="35"/>
        <v>121</v>
      </c>
    </row>
    <row r="2275" spans="74:74" x14ac:dyDescent="0.3">
      <c r="BV2275" s="32">
        <f t="shared" ca="1" si="35"/>
        <v>121</v>
      </c>
    </row>
    <row r="2276" spans="74:74" x14ac:dyDescent="0.3">
      <c r="BV2276" s="32">
        <f t="shared" ca="1" si="35"/>
        <v>121</v>
      </c>
    </row>
    <row r="2277" spans="74:74" x14ac:dyDescent="0.3">
      <c r="BV2277" s="32">
        <f t="shared" ca="1" si="35"/>
        <v>121</v>
      </c>
    </row>
    <row r="2278" spans="74:74" x14ac:dyDescent="0.3">
      <c r="BV2278" s="32">
        <f t="shared" ca="1" si="35"/>
        <v>121</v>
      </c>
    </row>
    <row r="2279" spans="74:74" x14ac:dyDescent="0.3">
      <c r="BV2279" s="32">
        <f t="shared" ca="1" si="35"/>
        <v>121</v>
      </c>
    </row>
    <row r="2280" spans="74:74" x14ac:dyDescent="0.3">
      <c r="BV2280" s="32">
        <f t="shared" ca="1" si="35"/>
        <v>121</v>
      </c>
    </row>
    <row r="2281" spans="74:74" x14ac:dyDescent="0.3">
      <c r="BV2281" s="32">
        <f t="shared" ca="1" si="35"/>
        <v>121</v>
      </c>
    </row>
    <row r="2282" spans="74:74" x14ac:dyDescent="0.3">
      <c r="BV2282" s="32">
        <f t="shared" ca="1" si="35"/>
        <v>121</v>
      </c>
    </row>
    <row r="2283" spans="74:74" x14ac:dyDescent="0.3">
      <c r="BV2283" s="32">
        <f t="shared" ca="1" si="35"/>
        <v>121</v>
      </c>
    </row>
    <row r="2284" spans="74:74" x14ac:dyDescent="0.3">
      <c r="BV2284" s="32">
        <f t="shared" ca="1" si="35"/>
        <v>121</v>
      </c>
    </row>
    <row r="2285" spans="74:74" x14ac:dyDescent="0.3">
      <c r="BV2285" s="32">
        <f t="shared" ca="1" si="35"/>
        <v>121</v>
      </c>
    </row>
    <row r="2286" spans="74:74" x14ac:dyDescent="0.3">
      <c r="BV2286" s="32">
        <f t="shared" ca="1" si="35"/>
        <v>121</v>
      </c>
    </row>
    <row r="2287" spans="74:74" x14ac:dyDescent="0.3">
      <c r="BV2287" s="32">
        <f t="shared" ca="1" si="35"/>
        <v>121</v>
      </c>
    </row>
    <row r="2288" spans="74:74" x14ac:dyDescent="0.3">
      <c r="BV2288" s="32">
        <f t="shared" ca="1" si="35"/>
        <v>121</v>
      </c>
    </row>
    <row r="2289" spans="74:74" x14ac:dyDescent="0.3">
      <c r="BV2289" s="32">
        <f t="shared" ca="1" si="35"/>
        <v>121</v>
      </c>
    </row>
    <row r="2290" spans="74:74" x14ac:dyDescent="0.3">
      <c r="BV2290" s="32">
        <f t="shared" ca="1" si="35"/>
        <v>121</v>
      </c>
    </row>
    <row r="2291" spans="74:74" x14ac:dyDescent="0.3">
      <c r="BV2291" s="32">
        <f t="shared" ca="1" si="35"/>
        <v>121</v>
      </c>
    </row>
    <row r="2292" spans="74:74" x14ac:dyDescent="0.3">
      <c r="BV2292" s="32">
        <f t="shared" ca="1" si="35"/>
        <v>121</v>
      </c>
    </row>
    <row r="2293" spans="74:74" x14ac:dyDescent="0.3">
      <c r="BV2293" s="32">
        <f t="shared" ca="1" si="35"/>
        <v>121</v>
      </c>
    </row>
    <row r="2294" spans="74:74" x14ac:dyDescent="0.3">
      <c r="BV2294" s="32">
        <f t="shared" ca="1" si="35"/>
        <v>121</v>
      </c>
    </row>
    <row r="2295" spans="74:74" x14ac:dyDescent="0.3">
      <c r="BV2295" s="32">
        <f t="shared" ca="1" si="35"/>
        <v>121</v>
      </c>
    </row>
    <row r="2296" spans="74:74" x14ac:dyDescent="0.3">
      <c r="BV2296" s="32">
        <f t="shared" ca="1" si="35"/>
        <v>121</v>
      </c>
    </row>
    <row r="2297" spans="74:74" x14ac:dyDescent="0.3">
      <c r="BV2297" s="32">
        <f t="shared" ca="1" si="35"/>
        <v>121</v>
      </c>
    </row>
    <row r="2298" spans="74:74" x14ac:dyDescent="0.3">
      <c r="BV2298" s="32">
        <f t="shared" ca="1" si="35"/>
        <v>121</v>
      </c>
    </row>
    <row r="2299" spans="74:74" x14ac:dyDescent="0.3">
      <c r="BV2299" s="32">
        <f t="shared" ca="1" si="35"/>
        <v>121</v>
      </c>
    </row>
    <row r="2300" spans="74:74" x14ac:dyDescent="0.3">
      <c r="BV2300" s="32">
        <f t="shared" ca="1" si="35"/>
        <v>121</v>
      </c>
    </row>
    <row r="2301" spans="74:74" x14ac:dyDescent="0.3">
      <c r="BV2301" s="32">
        <f t="shared" ca="1" si="35"/>
        <v>121</v>
      </c>
    </row>
    <row r="2302" spans="74:74" x14ac:dyDescent="0.3">
      <c r="BV2302" s="32">
        <f t="shared" ca="1" si="35"/>
        <v>121</v>
      </c>
    </row>
    <row r="2303" spans="74:74" x14ac:dyDescent="0.3">
      <c r="BV2303" s="32">
        <f t="shared" ca="1" si="35"/>
        <v>121</v>
      </c>
    </row>
    <row r="2304" spans="74:74" x14ac:dyDescent="0.3">
      <c r="BV2304" s="32">
        <f t="shared" ca="1" si="35"/>
        <v>121</v>
      </c>
    </row>
    <row r="2305" spans="74:74" x14ac:dyDescent="0.3">
      <c r="BV2305" s="32">
        <f t="shared" ca="1" si="35"/>
        <v>121</v>
      </c>
    </row>
    <row r="2306" spans="74:74" x14ac:dyDescent="0.3">
      <c r="BV2306" s="32">
        <f t="shared" ca="1" si="35"/>
        <v>121</v>
      </c>
    </row>
    <row r="2307" spans="74:74" x14ac:dyDescent="0.3">
      <c r="BV2307" s="32">
        <f t="shared" ca="1" si="35"/>
        <v>121</v>
      </c>
    </row>
    <row r="2308" spans="74:74" x14ac:dyDescent="0.3">
      <c r="BV2308" s="32">
        <f t="shared" ca="1" si="35"/>
        <v>121</v>
      </c>
    </row>
    <row r="2309" spans="74:74" x14ac:dyDescent="0.3">
      <c r="BV2309" s="32">
        <f t="shared" ca="1" si="35"/>
        <v>121</v>
      </c>
    </row>
    <row r="2310" spans="74:74" x14ac:dyDescent="0.3">
      <c r="BV2310" s="32">
        <f t="shared" ca="1" si="35"/>
        <v>121</v>
      </c>
    </row>
    <row r="2311" spans="74:74" x14ac:dyDescent="0.3">
      <c r="BV2311" s="32">
        <f t="shared" ca="1" si="35"/>
        <v>121</v>
      </c>
    </row>
    <row r="2312" spans="74:74" x14ac:dyDescent="0.3">
      <c r="BV2312" s="32">
        <f t="shared" ca="1" si="35"/>
        <v>121</v>
      </c>
    </row>
    <row r="2313" spans="74:74" x14ac:dyDescent="0.3">
      <c r="BV2313" s="32">
        <f t="shared" ca="1" si="35"/>
        <v>121</v>
      </c>
    </row>
    <row r="2314" spans="74:74" x14ac:dyDescent="0.3">
      <c r="BV2314" s="32">
        <f t="shared" ca="1" si="35"/>
        <v>121</v>
      </c>
    </row>
    <row r="2315" spans="74:74" x14ac:dyDescent="0.3">
      <c r="BV2315" s="32">
        <f t="shared" ca="1" si="35"/>
        <v>121</v>
      </c>
    </row>
    <row r="2316" spans="74:74" x14ac:dyDescent="0.3">
      <c r="BV2316" s="32">
        <f t="shared" ca="1" si="35"/>
        <v>121</v>
      </c>
    </row>
    <row r="2317" spans="74:74" x14ac:dyDescent="0.3">
      <c r="BV2317" s="32">
        <f t="shared" ref="BV2317:BV2380" ca="1" si="36">INT((TODAY()-$I2317)/365)</f>
        <v>121</v>
      </c>
    </row>
    <row r="2318" spans="74:74" x14ac:dyDescent="0.3">
      <c r="BV2318" s="32">
        <f t="shared" ca="1" si="36"/>
        <v>121</v>
      </c>
    </row>
    <row r="2319" spans="74:74" x14ac:dyDescent="0.3">
      <c r="BV2319" s="32">
        <f t="shared" ca="1" si="36"/>
        <v>121</v>
      </c>
    </row>
    <row r="2320" spans="74:74" x14ac:dyDescent="0.3">
      <c r="BV2320" s="32">
        <f t="shared" ca="1" si="36"/>
        <v>121</v>
      </c>
    </row>
    <row r="2321" spans="74:74" x14ac:dyDescent="0.3">
      <c r="BV2321" s="32">
        <f t="shared" ca="1" si="36"/>
        <v>121</v>
      </c>
    </row>
    <row r="2322" spans="74:74" x14ac:dyDescent="0.3">
      <c r="BV2322" s="32">
        <f t="shared" ca="1" si="36"/>
        <v>121</v>
      </c>
    </row>
    <row r="2323" spans="74:74" x14ac:dyDescent="0.3">
      <c r="BV2323" s="32">
        <f t="shared" ca="1" si="36"/>
        <v>121</v>
      </c>
    </row>
    <row r="2324" spans="74:74" x14ac:dyDescent="0.3">
      <c r="BV2324" s="32">
        <f t="shared" ca="1" si="36"/>
        <v>121</v>
      </c>
    </row>
    <row r="2325" spans="74:74" x14ac:dyDescent="0.3">
      <c r="BV2325" s="32">
        <f t="shared" ca="1" si="36"/>
        <v>121</v>
      </c>
    </row>
    <row r="2326" spans="74:74" x14ac:dyDescent="0.3">
      <c r="BV2326" s="32">
        <f t="shared" ca="1" si="36"/>
        <v>121</v>
      </c>
    </row>
    <row r="2327" spans="74:74" x14ac:dyDescent="0.3">
      <c r="BV2327" s="32">
        <f t="shared" ca="1" si="36"/>
        <v>121</v>
      </c>
    </row>
    <row r="2328" spans="74:74" x14ac:dyDescent="0.3">
      <c r="BV2328" s="32">
        <f t="shared" ca="1" si="36"/>
        <v>121</v>
      </c>
    </row>
    <row r="2329" spans="74:74" x14ac:dyDescent="0.3">
      <c r="BV2329" s="32">
        <f t="shared" ca="1" si="36"/>
        <v>121</v>
      </c>
    </row>
    <row r="2330" spans="74:74" x14ac:dyDescent="0.3">
      <c r="BV2330" s="32">
        <f t="shared" ca="1" si="36"/>
        <v>121</v>
      </c>
    </row>
    <row r="2331" spans="74:74" x14ac:dyDescent="0.3">
      <c r="BV2331" s="32">
        <f t="shared" ca="1" si="36"/>
        <v>121</v>
      </c>
    </row>
    <row r="2332" spans="74:74" x14ac:dyDescent="0.3">
      <c r="BV2332" s="32">
        <f t="shared" ca="1" si="36"/>
        <v>121</v>
      </c>
    </row>
    <row r="2333" spans="74:74" x14ac:dyDescent="0.3">
      <c r="BV2333" s="32">
        <f t="shared" ca="1" si="36"/>
        <v>121</v>
      </c>
    </row>
    <row r="2334" spans="74:74" x14ac:dyDescent="0.3">
      <c r="BV2334" s="32">
        <f t="shared" ca="1" si="36"/>
        <v>121</v>
      </c>
    </row>
    <row r="2335" spans="74:74" x14ac:dyDescent="0.3">
      <c r="BV2335" s="32">
        <f t="shared" ca="1" si="36"/>
        <v>121</v>
      </c>
    </row>
    <row r="2336" spans="74:74" x14ac:dyDescent="0.3">
      <c r="BV2336" s="32">
        <f t="shared" ca="1" si="36"/>
        <v>121</v>
      </c>
    </row>
    <row r="2337" spans="74:74" x14ac:dyDescent="0.3">
      <c r="BV2337" s="32">
        <f t="shared" ca="1" si="36"/>
        <v>121</v>
      </c>
    </row>
    <row r="2338" spans="74:74" x14ac:dyDescent="0.3">
      <c r="BV2338" s="32">
        <f t="shared" ca="1" si="36"/>
        <v>121</v>
      </c>
    </row>
    <row r="2339" spans="74:74" x14ac:dyDescent="0.3">
      <c r="BV2339" s="32">
        <f t="shared" ca="1" si="36"/>
        <v>121</v>
      </c>
    </row>
    <row r="2340" spans="74:74" x14ac:dyDescent="0.3">
      <c r="BV2340" s="32">
        <f t="shared" ca="1" si="36"/>
        <v>121</v>
      </c>
    </row>
    <row r="2341" spans="74:74" x14ac:dyDescent="0.3">
      <c r="BV2341" s="32">
        <f t="shared" ca="1" si="36"/>
        <v>121</v>
      </c>
    </row>
    <row r="2342" spans="74:74" x14ac:dyDescent="0.3">
      <c r="BV2342" s="32">
        <f t="shared" ca="1" si="36"/>
        <v>121</v>
      </c>
    </row>
    <row r="2343" spans="74:74" x14ac:dyDescent="0.3">
      <c r="BV2343" s="32">
        <f t="shared" ca="1" si="36"/>
        <v>121</v>
      </c>
    </row>
    <row r="2344" spans="74:74" x14ac:dyDescent="0.3">
      <c r="BV2344" s="32">
        <f t="shared" ca="1" si="36"/>
        <v>121</v>
      </c>
    </row>
    <row r="2345" spans="74:74" x14ac:dyDescent="0.3">
      <c r="BV2345" s="32">
        <f t="shared" ca="1" si="36"/>
        <v>121</v>
      </c>
    </row>
    <row r="2346" spans="74:74" x14ac:dyDescent="0.3">
      <c r="BV2346" s="32">
        <f t="shared" ca="1" si="36"/>
        <v>121</v>
      </c>
    </row>
    <row r="2347" spans="74:74" x14ac:dyDescent="0.3">
      <c r="BV2347" s="32">
        <f t="shared" ca="1" si="36"/>
        <v>121</v>
      </c>
    </row>
    <row r="2348" spans="74:74" x14ac:dyDescent="0.3">
      <c r="BV2348" s="32">
        <f t="shared" ca="1" si="36"/>
        <v>121</v>
      </c>
    </row>
    <row r="2349" spans="74:74" x14ac:dyDescent="0.3">
      <c r="BV2349" s="32">
        <f t="shared" ca="1" si="36"/>
        <v>121</v>
      </c>
    </row>
    <row r="2350" spans="74:74" x14ac:dyDescent="0.3">
      <c r="BV2350" s="32">
        <f t="shared" ca="1" si="36"/>
        <v>121</v>
      </c>
    </row>
    <row r="2351" spans="74:74" x14ac:dyDescent="0.3">
      <c r="BV2351" s="32">
        <f t="shared" ca="1" si="36"/>
        <v>121</v>
      </c>
    </row>
    <row r="2352" spans="74:74" x14ac:dyDescent="0.3">
      <c r="BV2352" s="32">
        <f t="shared" ca="1" si="36"/>
        <v>121</v>
      </c>
    </row>
    <row r="2353" spans="74:74" x14ac:dyDescent="0.3">
      <c r="BV2353" s="32">
        <f t="shared" ca="1" si="36"/>
        <v>121</v>
      </c>
    </row>
    <row r="2354" spans="74:74" x14ac:dyDescent="0.3">
      <c r="BV2354" s="32">
        <f t="shared" ca="1" si="36"/>
        <v>121</v>
      </c>
    </row>
    <row r="2355" spans="74:74" x14ac:dyDescent="0.3">
      <c r="BV2355" s="32">
        <f t="shared" ca="1" si="36"/>
        <v>121</v>
      </c>
    </row>
    <row r="2356" spans="74:74" x14ac:dyDescent="0.3">
      <c r="BV2356" s="32">
        <f t="shared" ca="1" si="36"/>
        <v>121</v>
      </c>
    </row>
    <row r="2357" spans="74:74" x14ac:dyDescent="0.3">
      <c r="BV2357" s="32">
        <f t="shared" ca="1" si="36"/>
        <v>121</v>
      </c>
    </row>
    <row r="2358" spans="74:74" x14ac:dyDescent="0.3">
      <c r="BV2358" s="32">
        <f t="shared" ca="1" si="36"/>
        <v>121</v>
      </c>
    </row>
    <row r="2359" spans="74:74" x14ac:dyDescent="0.3">
      <c r="BV2359" s="32">
        <f t="shared" ca="1" si="36"/>
        <v>121</v>
      </c>
    </row>
    <row r="2360" spans="74:74" x14ac:dyDescent="0.3">
      <c r="BV2360" s="32">
        <f t="shared" ca="1" si="36"/>
        <v>121</v>
      </c>
    </row>
    <row r="2361" spans="74:74" x14ac:dyDescent="0.3">
      <c r="BV2361" s="32">
        <f t="shared" ca="1" si="36"/>
        <v>121</v>
      </c>
    </row>
    <row r="2362" spans="74:74" x14ac:dyDescent="0.3">
      <c r="BV2362" s="32">
        <f t="shared" ca="1" si="36"/>
        <v>121</v>
      </c>
    </row>
    <row r="2363" spans="74:74" x14ac:dyDescent="0.3">
      <c r="BV2363" s="32">
        <f t="shared" ca="1" si="36"/>
        <v>121</v>
      </c>
    </row>
    <row r="2364" spans="74:74" x14ac:dyDescent="0.3">
      <c r="BV2364" s="32">
        <f t="shared" ca="1" si="36"/>
        <v>121</v>
      </c>
    </row>
    <row r="2365" spans="74:74" x14ac:dyDescent="0.3">
      <c r="BV2365" s="32">
        <f t="shared" ca="1" si="36"/>
        <v>121</v>
      </c>
    </row>
    <row r="2366" spans="74:74" x14ac:dyDescent="0.3">
      <c r="BV2366" s="32">
        <f t="shared" ca="1" si="36"/>
        <v>121</v>
      </c>
    </row>
    <row r="2367" spans="74:74" x14ac:dyDescent="0.3">
      <c r="BV2367" s="32">
        <f t="shared" ca="1" si="36"/>
        <v>121</v>
      </c>
    </row>
    <row r="2368" spans="74:74" x14ac:dyDescent="0.3">
      <c r="BV2368" s="32">
        <f t="shared" ca="1" si="36"/>
        <v>121</v>
      </c>
    </row>
    <row r="2369" spans="74:74" x14ac:dyDescent="0.3">
      <c r="BV2369" s="32">
        <f t="shared" ca="1" si="36"/>
        <v>121</v>
      </c>
    </row>
    <row r="2370" spans="74:74" x14ac:dyDescent="0.3">
      <c r="BV2370" s="32">
        <f t="shared" ca="1" si="36"/>
        <v>121</v>
      </c>
    </row>
    <row r="2371" spans="74:74" x14ac:dyDescent="0.3">
      <c r="BV2371" s="32">
        <f t="shared" ca="1" si="36"/>
        <v>121</v>
      </c>
    </row>
    <row r="2372" spans="74:74" x14ac:dyDescent="0.3">
      <c r="BV2372" s="32">
        <f t="shared" ca="1" si="36"/>
        <v>121</v>
      </c>
    </row>
    <row r="2373" spans="74:74" x14ac:dyDescent="0.3">
      <c r="BV2373" s="32">
        <f t="shared" ca="1" si="36"/>
        <v>121</v>
      </c>
    </row>
    <row r="2374" spans="74:74" x14ac:dyDescent="0.3">
      <c r="BV2374" s="32">
        <f t="shared" ca="1" si="36"/>
        <v>121</v>
      </c>
    </row>
    <row r="2375" spans="74:74" x14ac:dyDescent="0.3">
      <c r="BV2375" s="32">
        <f t="shared" ca="1" si="36"/>
        <v>121</v>
      </c>
    </row>
    <row r="2376" spans="74:74" x14ac:dyDescent="0.3">
      <c r="BV2376" s="32">
        <f t="shared" ca="1" si="36"/>
        <v>121</v>
      </c>
    </row>
    <row r="2377" spans="74:74" x14ac:dyDescent="0.3">
      <c r="BV2377" s="32">
        <f t="shared" ca="1" si="36"/>
        <v>121</v>
      </c>
    </row>
    <row r="2378" spans="74:74" x14ac:dyDescent="0.3">
      <c r="BV2378" s="32">
        <f t="shared" ca="1" si="36"/>
        <v>121</v>
      </c>
    </row>
    <row r="2379" spans="74:74" x14ac:dyDescent="0.3">
      <c r="BV2379" s="32">
        <f t="shared" ca="1" si="36"/>
        <v>121</v>
      </c>
    </row>
    <row r="2380" spans="74:74" x14ac:dyDescent="0.3">
      <c r="BV2380" s="32">
        <f t="shared" ca="1" si="36"/>
        <v>121</v>
      </c>
    </row>
    <row r="2381" spans="74:74" x14ac:dyDescent="0.3">
      <c r="BV2381" s="32">
        <f t="shared" ref="BV2381:BV2444" ca="1" si="37">INT((TODAY()-$I2381)/365)</f>
        <v>121</v>
      </c>
    </row>
    <row r="2382" spans="74:74" x14ac:dyDescent="0.3">
      <c r="BV2382" s="32">
        <f t="shared" ca="1" si="37"/>
        <v>121</v>
      </c>
    </row>
    <row r="2383" spans="74:74" x14ac:dyDescent="0.3">
      <c r="BV2383" s="32">
        <f t="shared" ca="1" si="37"/>
        <v>121</v>
      </c>
    </row>
    <row r="2384" spans="74:74" x14ac:dyDescent="0.3">
      <c r="BV2384" s="32">
        <f t="shared" ca="1" si="37"/>
        <v>121</v>
      </c>
    </row>
    <row r="2385" spans="74:74" x14ac:dyDescent="0.3">
      <c r="BV2385" s="32">
        <f t="shared" ca="1" si="37"/>
        <v>121</v>
      </c>
    </row>
    <row r="2386" spans="74:74" x14ac:dyDescent="0.3">
      <c r="BV2386" s="32">
        <f t="shared" ca="1" si="37"/>
        <v>121</v>
      </c>
    </row>
    <row r="2387" spans="74:74" x14ac:dyDescent="0.3">
      <c r="BV2387" s="32">
        <f t="shared" ca="1" si="37"/>
        <v>121</v>
      </c>
    </row>
    <row r="2388" spans="74:74" x14ac:dyDescent="0.3">
      <c r="BV2388" s="32">
        <f t="shared" ca="1" si="37"/>
        <v>121</v>
      </c>
    </row>
    <row r="2389" spans="74:74" x14ac:dyDescent="0.3">
      <c r="BV2389" s="32">
        <f t="shared" ca="1" si="37"/>
        <v>121</v>
      </c>
    </row>
    <row r="2390" spans="74:74" x14ac:dyDescent="0.3">
      <c r="BV2390" s="32">
        <f t="shared" ca="1" si="37"/>
        <v>121</v>
      </c>
    </row>
    <row r="2391" spans="74:74" x14ac:dyDescent="0.3">
      <c r="BV2391" s="32">
        <f t="shared" ca="1" si="37"/>
        <v>121</v>
      </c>
    </row>
    <row r="2392" spans="74:74" x14ac:dyDescent="0.3">
      <c r="BV2392" s="32">
        <f t="shared" ca="1" si="37"/>
        <v>121</v>
      </c>
    </row>
    <row r="2393" spans="74:74" x14ac:dyDescent="0.3">
      <c r="BV2393" s="32">
        <f t="shared" ca="1" si="37"/>
        <v>121</v>
      </c>
    </row>
    <row r="2394" spans="74:74" x14ac:dyDescent="0.3">
      <c r="BV2394" s="32">
        <f t="shared" ca="1" si="37"/>
        <v>121</v>
      </c>
    </row>
    <row r="2395" spans="74:74" x14ac:dyDescent="0.3">
      <c r="BV2395" s="32">
        <f t="shared" ca="1" si="37"/>
        <v>121</v>
      </c>
    </row>
    <row r="2396" spans="74:74" x14ac:dyDescent="0.3">
      <c r="BV2396" s="32">
        <f t="shared" ca="1" si="37"/>
        <v>121</v>
      </c>
    </row>
    <row r="2397" spans="74:74" x14ac:dyDescent="0.3">
      <c r="BV2397" s="32">
        <f t="shared" ca="1" si="37"/>
        <v>121</v>
      </c>
    </row>
    <row r="2398" spans="74:74" x14ac:dyDescent="0.3">
      <c r="BV2398" s="32">
        <f t="shared" ca="1" si="37"/>
        <v>121</v>
      </c>
    </row>
    <row r="2399" spans="74:74" x14ac:dyDescent="0.3">
      <c r="BV2399" s="32">
        <f t="shared" ca="1" si="37"/>
        <v>121</v>
      </c>
    </row>
    <row r="2400" spans="74:74" x14ac:dyDescent="0.3">
      <c r="BV2400" s="32">
        <f t="shared" ca="1" si="37"/>
        <v>121</v>
      </c>
    </row>
    <row r="2401" spans="74:74" x14ac:dyDescent="0.3">
      <c r="BV2401" s="32">
        <f t="shared" ca="1" si="37"/>
        <v>121</v>
      </c>
    </row>
    <row r="2402" spans="74:74" x14ac:dyDescent="0.3">
      <c r="BV2402" s="32">
        <f t="shared" ca="1" si="37"/>
        <v>121</v>
      </c>
    </row>
    <row r="2403" spans="74:74" x14ac:dyDescent="0.3">
      <c r="BV2403" s="32">
        <f t="shared" ca="1" si="37"/>
        <v>121</v>
      </c>
    </row>
    <row r="2404" spans="74:74" x14ac:dyDescent="0.3">
      <c r="BV2404" s="32">
        <f t="shared" ca="1" si="37"/>
        <v>121</v>
      </c>
    </row>
    <row r="2405" spans="74:74" x14ac:dyDescent="0.3">
      <c r="BV2405" s="32">
        <f t="shared" ca="1" si="37"/>
        <v>121</v>
      </c>
    </row>
    <row r="2406" spans="74:74" x14ac:dyDescent="0.3">
      <c r="BV2406" s="32">
        <f t="shared" ca="1" si="37"/>
        <v>121</v>
      </c>
    </row>
    <row r="2407" spans="74:74" x14ac:dyDescent="0.3">
      <c r="BV2407" s="32">
        <f t="shared" ca="1" si="37"/>
        <v>121</v>
      </c>
    </row>
    <row r="2408" spans="74:74" x14ac:dyDescent="0.3">
      <c r="BV2408" s="32">
        <f t="shared" ca="1" si="37"/>
        <v>121</v>
      </c>
    </row>
    <row r="2409" spans="74:74" x14ac:dyDescent="0.3">
      <c r="BV2409" s="32">
        <f t="shared" ca="1" si="37"/>
        <v>121</v>
      </c>
    </row>
    <row r="2410" spans="74:74" x14ac:dyDescent="0.3">
      <c r="BV2410" s="32">
        <f t="shared" ca="1" si="37"/>
        <v>121</v>
      </c>
    </row>
    <row r="2411" spans="74:74" x14ac:dyDescent="0.3">
      <c r="BV2411" s="32">
        <f t="shared" ca="1" si="37"/>
        <v>121</v>
      </c>
    </row>
    <row r="2412" spans="74:74" x14ac:dyDescent="0.3">
      <c r="BV2412" s="32">
        <f t="shared" ca="1" si="37"/>
        <v>121</v>
      </c>
    </row>
    <row r="2413" spans="74:74" x14ac:dyDescent="0.3">
      <c r="BV2413" s="32">
        <f t="shared" ca="1" si="37"/>
        <v>121</v>
      </c>
    </row>
    <row r="2414" spans="74:74" x14ac:dyDescent="0.3">
      <c r="BV2414" s="32">
        <f t="shared" ca="1" si="37"/>
        <v>121</v>
      </c>
    </row>
    <row r="2415" spans="74:74" x14ac:dyDescent="0.3">
      <c r="BV2415" s="32">
        <f t="shared" ca="1" si="37"/>
        <v>121</v>
      </c>
    </row>
    <row r="2416" spans="74:74" x14ac:dyDescent="0.3">
      <c r="BV2416" s="32">
        <f t="shared" ca="1" si="37"/>
        <v>121</v>
      </c>
    </row>
    <row r="2417" spans="74:74" x14ac:dyDescent="0.3">
      <c r="BV2417" s="32">
        <f t="shared" ca="1" si="37"/>
        <v>121</v>
      </c>
    </row>
    <row r="2418" spans="74:74" x14ac:dyDescent="0.3">
      <c r="BV2418" s="32">
        <f t="shared" ca="1" si="37"/>
        <v>121</v>
      </c>
    </row>
    <row r="2419" spans="74:74" x14ac:dyDescent="0.3">
      <c r="BV2419" s="32">
        <f t="shared" ca="1" si="37"/>
        <v>121</v>
      </c>
    </row>
    <row r="2420" spans="74:74" x14ac:dyDescent="0.3">
      <c r="BV2420" s="32">
        <f t="shared" ca="1" si="37"/>
        <v>121</v>
      </c>
    </row>
    <row r="2421" spans="74:74" x14ac:dyDescent="0.3">
      <c r="BV2421" s="32">
        <f t="shared" ca="1" si="37"/>
        <v>121</v>
      </c>
    </row>
    <row r="2422" spans="74:74" x14ac:dyDescent="0.3">
      <c r="BV2422" s="32">
        <f t="shared" ca="1" si="37"/>
        <v>121</v>
      </c>
    </row>
    <row r="2423" spans="74:74" x14ac:dyDescent="0.3">
      <c r="BV2423" s="32">
        <f t="shared" ca="1" si="37"/>
        <v>121</v>
      </c>
    </row>
    <row r="2424" spans="74:74" x14ac:dyDescent="0.3">
      <c r="BV2424" s="32">
        <f t="shared" ca="1" si="37"/>
        <v>121</v>
      </c>
    </row>
    <row r="2425" spans="74:74" x14ac:dyDescent="0.3">
      <c r="BV2425" s="32">
        <f t="shared" ca="1" si="37"/>
        <v>121</v>
      </c>
    </row>
    <row r="2426" spans="74:74" x14ac:dyDescent="0.3">
      <c r="BV2426" s="32">
        <f t="shared" ca="1" si="37"/>
        <v>121</v>
      </c>
    </row>
    <row r="2427" spans="74:74" x14ac:dyDescent="0.3">
      <c r="BV2427" s="32">
        <f t="shared" ca="1" si="37"/>
        <v>121</v>
      </c>
    </row>
    <row r="2428" spans="74:74" x14ac:dyDescent="0.3">
      <c r="BV2428" s="32">
        <f t="shared" ca="1" si="37"/>
        <v>121</v>
      </c>
    </row>
    <row r="2429" spans="74:74" x14ac:dyDescent="0.3">
      <c r="BV2429" s="32">
        <f t="shared" ca="1" si="37"/>
        <v>121</v>
      </c>
    </row>
    <row r="2430" spans="74:74" x14ac:dyDescent="0.3">
      <c r="BV2430" s="32">
        <f t="shared" ca="1" si="37"/>
        <v>121</v>
      </c>
    </row>
    <row r="2431" spans="74:74" x14ac:dyDescent="0.3">
      <c r="BV2431" s="32">
        <f t="shared" ca="1" si="37"/>
        <v>121</v>
      </c>
    </row>
    <row r="2432" spans="74:74" x14ac:dyDescent="0.3">
      <c r="BV2432" s="32">
        <f t="shared" ca="1" si="37"/>
        <v>121</v>
      </c>
    </row>
    <row r="2433" spans="74:74" x14ac:dyDescent="0.3">
      <c r="BV2433" s="32">
        <f t="shared" ca="1" si="37"/>
        <v>121</v>
      </c>
    </row>
    <row r="2434" spans="74:74" x14ac:dyDescent="0.3">
      <c r="BV2434" s="32">
        <f t="shared" ca="1" si="37"/>
        <v>121</v>
      </c>
    </row>
    <row r="2435" spans="74:74" x14ac:dyDescent="0.3">
      <c r="BV2435" s="32">
        <f t="shared" ca="1" si="37"/>
        <v>121</v>
      </c>
    </row>
    <row r="2436" spans="74:74" x14ac:dyDescent="0.3">
      <c r="BV2436" s="32">
        <f t="shared" ca="1" si="37"/>
        <v>121</v>
      </c>
    </row>
    <row r="2437" spans="74:74" x14ac:dyDescent="0.3">
      <c r="BV2437" s="32">
        <f t="shared" ca="1" si="37"/>
        <v>121</v>
      </c>
    </row>
    <row r="2438" spans="74:74" x14ac:dyDescent="0.3">
      <c r="BV2438" s="32">
        <f t="shared" ca="1" si="37"/>
        <v>121</v>
      </c>
    </row>
    <row r="2439" spans="74:74" x14ac:dyDescent="0.3">
      <c r="BV2439" s="32">
        <f t="shared" ca="1" si="37"/>
        <v>121</v>
      </c>
    </row>
    <row r="2440" spans="74:74" x14ac:dyDescent="0.3">
      <c r="BV2440" s="32">
        <f t="shared" ca="1" si="37"/>
        <v>121</v>
      </c>
    </row>
    <row r="2441" spans="74:74" x14ac:dyDescent="0.3">
      <c r="BV2441" s="32">
        <f t="shared" ca="1" si="37"/>
        <v>121</v>
      </c>
    </row>
    <row r="2442" spans="74:74" x14ac:dyDescent="0.3">
      <c r="BV2442" s="32">
        <f t="shared" ca="1" si="37"/>
        <v>121</v>
      </c>
    </row>
    <row r="2443" spans="74:74" x14ac:dyDescent="0.3">
      <c r="BV2443" s="32">
        <f t="shared" ca="1" si="37"/>
        <v>121</v>
      </c>
    </row>
    <row r="2444" spans="74:74" x14ac:dyDescent="0.3">
      <c r="BV2444" s="32">
        <f t="shared" ca="1" si="37"/>
        <v>121</v>
      </c>
    </row>
    <row r="2445" spans="74:74" x14ac:dyDescent="0.3">
      <c r="BV2445" s="32">
        <f t="shared" ref="BV2445:BV2508" ca="1" si="38">INT((TODAY()-$I2445)/365)</f>
        <v>121</v>
      </c>
    </row>
    <row r="2446" spans="74:74" x14ac:dyDescent="0.3">
      <c r="BV2446" s="32">
        <f t="shared" ca="1" si="38"/>
        <v>121</v>
      </c>
    </row>
    <row r="2447" spans="74:74" x14ac:dyDescent="0.3">
      <c r="BV2447" s="32">
        <f t="shared" ca="1" si="38"/>
        <v>121</v>
      </c>
    </row>
    <row r="2448" spans="74:74" x14ac:dyDescent="0.3">
      <c r="BV2448" s="32">
        <f t="shared" ca="1" si="38"/>
        <v>121</v>
      </c>
    </row>
    <row r="2449" spans="74:74" x14ac:dyDescent="0.3">
      <c r="BV2449" s="32">
        <f t="shared" ca="1" si="38"/>
        <v>121</v>
      </c>
    </row>
    <row r="2450" spans="74:74" x14ac:dyDescent="0.3">
      <c r="BV2450" s="32">
        <f t="shared" ca="1" si="38"/>
        <v>121</v>
      </c>
    </row>
    <row r="2451" spans="74:74" x14ac:dyDescent="0.3">
      <c r="BV2451" s="32">
        <f t="shared" ca="1" si="38"/>
        <v>121</v>
      </c>
    </row>
    <row r="2452" spans="74:74" x14ac:dyDescent="0.3">
      <c r="BV2452" s="32">
        <f t="shared" ca="1" si="38"/>
        <v>121</v>
      </c>
    </row>
    <row r="2453" spans="74:74" x14ac:dyDescent="0.3">
      <c r="BV2453" s="32">
        <f t="shared" ca="1" si="38"/>
        <v>121</v>
      </c>
    </row>
    <row r="2454" spans="74:74" x14ac:dyDescent="0.3">
      <c r="BV2454" s="32">
        <f t="shared" ca="1" si="38"/>
        <v>121</v>
      </c>
    </row>
    <row r="2455" spans="74:74" x14ac:dyDescent="0.3">
      <c r="BV2455" s="32">
        <f t="shared" ca="1" si="38"/>
        <v>121</v>
      </c>
    </row>
    <row r="2456" spans="74:74" x14ac:dyDescent="0.3">
      <c r="BV2456" s="32">
        <f t="shared" ca="1" si="38"/>
        <v>121</v>
      </c>
    </row>
    <row r="2457" spans="74:74" x14ac:dyDescent="0.3">
      <c r="BV2457" s="32">
        <f t="shared" ca="1" si="38"/>
        <v>121</v>
      </c>
    </row>
    <row r="2458" spans="74:74" x14ac:dyDescent="0.3">
      <c r="BV2458" s="32">
        <f t="shared" ca="1" si="38"/>
        <v>121</v>
      </c>
    </row>
    <row r="2459" spans="74:74" x14ac:dyDescent="0.3">
      <c r="BV2459" s="32">
        <f t="shared" ca="1" si="38"/>
        <v>121</v>
      </c>
    </row>
    <row r="2460" spans="74:74" x14ac:dyDescent="0.3">
      <c r="BV2460" s="32">
        <f t="shared" ca="1" si="38"/>
        <v>121</v>
      </c>
    </row>
    <row r="2461" spans="74:74" x14ac:dyDescent="0.3">
      <c r="BV2461" s="32">
        <f t="shared" ca="1" si="38"/>
        <v>121</v>
      </c>
    </row>
    <row r="2462" spans="74:74" x14ac:dyDescent="0.3">
      <c r="BV2462" s="32">
        <f t="shared" ca="1" si="38"/>
        <v>121</v>
      </c>
    </row>
    <row r="2463" spans="74:74" x14ac:dyDescent="0.3">
      <c r="BV2463" s="32">
        <f t="shared" ca="1" si="38"/>
        <v>121</v>
      </c>
    </row>
    <row r="2464" spans="74:74" x14ac:dyDescent="0.3">
      <c r="BV2464" s="32">
        <f t="shared" ca="1" si="38"/>
        <v>121</v>
      </c>
    </row>
    <row r="2465" spans="74:74" x14ac:dyDescent="0.3">
      <c r="BV2465" s="32">
        <f t="shared" ca="1" si="38"/>
        <v>121</v>
      </c>
    </row>
    <row r="2466" spans="74:74" x14ac:dyDescent="0.3">
      <c r="BV2466" s="32">
        <f t="shared" ca="1" si="38"/>
        <v>121</v>
      </c>
    </row>
    <row r="2467" spans="74:74" x14ac:dyDescent="0.3">
      <c r="BV2467" s="32">
        <f t="shared" ca="1" si="38"/>
        <v>121</v>
      </c>
    </row>
    <row r="2468" spans="74:74" x14ac:dyDescent="0.3">
      <c r="BV2468" s="32">
        <f t="shared" ca="1" si="38"/>
        <v>121</v>
      </c>
    </row>
    <row r="2469" spans="74:74" x14ac:dyDescent="0.3">
      <c r="BV2469" s="32">
        <f t="shared" ca="1" si="38"/>
        <v>121</v>
      </c>
    </row>
    <row r="2470" spans="74:74" x14ac:dyDescent="0.3">
      <c r="BV2470" s="32">
        <f t="shared" ca="1" si="38"/>
        <v>121</v>
      </c>
    </row>
    <row r="2471" spans="74:74" x14ac:dyDescent="0.3">
      <c r="BV2471" s="32">
        <f t="shared" ca="1" si="38"/>
        <v>121</v>
      </c>
    </row>
    <row r="2472" spans="74:74" x14ac:dyDescent="0.3">
      <c r="BV2472" s="32">
        <f t="shared" ca="1" si="38"/>
        <v>121</v>
      </c>
    </row>
    <row r="2473" spans="74:74" x14ac:dyDescent="0.3">
      <c r="BV2473" s="32">
        <f t="shared" ca="1" si="38"/>
        <v>121</v>
      </c>
    </row>
    <row r="2474" spans="74:74" x14ac:dyDescent="0.3">
      <c r="BV2474" s="32">
        <f t="shared" ca="1" si="38"/>
        <v>121</v>
      </c>
    </row>
    <row r="2475" spans="74:74" x14ac:dyDescent="0.3">
      <c r="BV2475" s="32">
        <f t="shared" ca="1" si="38"/>
        <v>121</v>
      </c>
    </row>
    <row r="2476" spans="74:74" x14ac:dyDescent="0.3">
      <c r="BV2476" s="32">
        <f t="shared" ca="1" si="38"/>
        <v>121</v>
      </c>
    </row>
    <row r="2477" spans="74:74" x14ac:dyDescent="0.3">
      <c r="BV2477" s="32">
        <f t="shared" ca="1" si="38"/>
        <v>121</v>
      </c>
    </row>
    <row r="2478" spans="74:74" x14ac:dyDescent="0.3">
      <c r="BV2478" s="32">
        <f t="shared" ca="1" si="38"/>
        <v>121</v>
      </c>
    </row>
    <row r="2479" spans="74:74" x14ac:dyDescent="0.3">
      <c r="BV2479" s="32">
        <f t="shared" ca="1" si="38"/>
        <v>121</v>
      </c>
    </row>
    <row r="2480" spans="74:74" x14ac:dyDescent="0.3">
      <c r="BV2480" s="32">
        <f t="shared" ca="1" si="38"/>
        <v>121</v>
      </c>
    </row>
    <row r="2481" spans="74:74" x14ac:dyDescent="0.3">
      <c r="BV2481" s="32">
        <f t="shared" ca="1" si="38"/>
        <v>121</v>
      </c>
    </row>
    <row r="2482" spans="74:74" x14ac:dyDescent="0.3">
      <c r="BV2482" s="32">
        <f t="shared" ca="1" si="38"/>
        <v>121</v>
      </c>
    </row>
    <row r="2483" spans="74:74" x14ac:dyDescent="0.3">
      <c r="BV2483" s="32">
        <f t="shared" ca="1" si="38"/>
        <v>121</v>
      </c>
    </row>
    <row r="2484" spans="74:74" x14ac:dyDescent="0.3">
      <c r="BV2484" s="32">
        <f t="shared" ca="1" si="38"/>
        <v>121</v>
      </c>
    </row>
    <row r="2485" spans="74:74" x14ac:dyDescent="0.3">
      <c r="BV2485" s="32">
        <f t="shared" ca="1" si="38"/>
        <v>121</v>
      </c>
    </row>
    <row r="2486" spans="74:74" x14ac:dyDescent="0.3">
      <c r="BV2486" s="32">
        <f t="shared" ca="1" si="38"/>
        <v>121</v>
      </c>
    </row>
    <row r="2487" spans="74:74" x14ac:dyDescent="0.3">
      <c r="BV2487" s="32">
        <f t="shared" ca="1" si="38"/>
        <v>121</v>
      </c>
    </row>
    <row r="2488" spans="74:74" x14ac:dyDescent="0.3">
      <c r="BV2488" s="32">
        <f t="shared" ca="1" si="38"/>
        <v>121</v>
      </c>
    </row>
    <row r="2489" spans="74:74" x14ac:dyDescent="0.3">
      <c r="BV2489" s="32">
        <f t="shared" ca="1" si="38"/>
        <v>121</v>
      </c>
    </row>
    <row r="2490" spans="74:74" x14ac:dyDescent="0.3">
      <c r="BV2490" s="32">
        <f t="shared" ca="1" si="38"/>
        <v>121</v>
      </c>
    </row>
    <row r="2491" spans="74:74" x14ac:dyDescent="0.3">
      <c r="BV2491" s="32">
        <f t="shared" ca="1" si="38"/>
        <v>121</v>
      </c>
    </row>
    <row r="2492" spans="74:74" x14ac:dyDescent="0.3">
      <c r="BV2492" s="32">
        <f t="shared" ca="1" si="38"/>
        <v>121</v>
      </c>
    </row>
    <row r="2493" spans="74:74" x14ac:dyDescent="0.3">
      <c r="BV2493" s="32">
        <f t="shared" ca="1" si="38"/>
        <v>121</v>
      </c>
    </row>
    <row r="2494" spans="74:74" x14ac:dyDescent="0.3">
      <c r="BV2494" s="32">
        <f t="shared" ca="1" si="38"/>
        <v>121</v>
      </c>
    </row>
    <row r="2495" spans="74:74" x14ac:dyDescent="0.3">
      <c r="BV2495" s="32">
        <f t="shared" ca="1" si="38"/>
        <v>121</v>
      </c>
    </row>
    <row r="2496" spans="74:74" x14ac:dyDescent="0.3">
      <c r="BV2496" s="32">
        <f t="shared" ca="1" si="38"/>
        <v>121</v>
      </c>
    </row>
    <row r="2497" spans="74:74" x14ac:dyDescent="0.3">
      <c r="BV2497" s="32">
        <f t="shared" ca="1" si="38"/>
        <v>121</v>
      </c>
    </row>
    <row r="2498" spans="74:74" x14ac:dyDescent="0.3">
      <c r="BV2498" s="32">
        <f t="shared" ca="1" si="38"/>
        <v>121</v>
      </c>
    </row>
    <row r="2499" spans="74:74" x14ac:dyDescent="0.3">
      <c r="BV2499" s="32">
        <f t="shared" ca="1" si="38"/>
        <v>121</v>
      </c>
    </row>
    <row r="2500" spans="74:74" x14ac:dyDescent="0.3">
      <c r="BV2500" s="32">
        <f t="shared" ca="1" si="38"/>
        <v>121</v>
      </c>
    </row>
    <row r="2501" spans="74:74" x14ac:dyDescent="0.3">
      <c r="BV2501" s="32">
        <f t="shared" ca="1" si="38"/>
        <v>121</v>
      </c>
    </row>
    <row r="2502" spans="74:74" x14ac:dyDescent="0.3">
      <c r="BV2502" s="32">
        <f t="shared" ca="1" si="38"/>
        <v>121</v>
      </c>
    </row>
    <row r="2503" spans="74:74" x14ac:dyDescent="0.3">
      <c r="BV2503" s="32">
        <f t="shared" ca="1" si="38"/>
        <v>121</v>
      </c>
    </row>
    <row r="2504" spans="74:74" x14ac:dyDescent="0.3">
      <c r="BV2504" s="32">
        <f t="shared" ca="1" si="38"/>
        <v>121</v>
      </c>
    </row>
    <row r="2505" spans="74:74" x14ac:dyDescent="0.3">
      <c r="BV2505" s="32">
        <f t="shared" ca="1" si="38"/>
        <v>121</v>
      </c>
    </row>
    <row r="2506" spans="74:74" x14ac:dyDescent="0.3">
      <c r="BV2506" s="32">
        <f t="shared" ca="1" si="38"/>
        <v>121</v>
      </c>
    </row>
    <row r="2507" spans="74:74" x14ac:dyDescent="0.3">
      <c r="BV2507" s="32">
        <f t="shared" ca="1" si="38"/>
        <v>121</v>
      </c>
    </row>
    <row r="2508" spans="74:74" x14ac:dyDescent="0.3">
      <c r="BV2508" s="32">
        <f t="shared" ca="1" si="38"/>
        <v>121</v>
      </c>
    </row>
    <row r="2509" spans="74:74" x14ac:dyDescent="0.3">
      <c r="BV2509" s="32">
        <f t="shared" ref="BV2509:BV2572" ca="1" si="39">INT((TODAY()-$I2509)/365)</f>
        <v>121</v>
      </c>
    </row>
    <row r="2510" spans="74:74" x14ac:dyDescent="0.3">
      <c r="BV2510" s="32">
        <f t="shared" ca="1" si="39"/>
        <v>121</v>
      </c>
    </row>
    <row r="2511" spans="74:74" x14ac:dyDescent="0.3">
      <c r="BV2511" s="32">
        <f t="shared" ca="1" si="39"/>
        <v>121</v>
      </c>
    </row>
    <row r="2512" spans="74:74" x14ac:dyDescent="0.3">
      <c r="BV2512" s="32">
        <f t="shared" ca="1" si="39"/>
        <v>121</v>
      </c>
    </row>
    <row r="2513" spans="74:74" x14ac:dyDescent="0.3">
      <c r="BV2513" s="32">
        <f t="shared" ca="1" si="39"/>
        <v>121</v>
      </c>
    </row>
    <row r="2514" spans="74:74" x14ac:dyDescent="0.3">
      <c r="BV2514" s="32">
        <f t="shared" ca="1" si="39"/>
        <v>121</v>
      </c>
    </row>
    <row r="2515" spans="74:74" x14ac:dyDescent="0.3">
      <c r="BV2515" s="32">
        <f t="shared" ca="1" si="39"/>
        <v>121</v>
      </c>
    </row>
    <row r="2516" spans="74:74" x14ac:dyDescent="0.3">
      <c r="BV2516" s="32">
        <f t="shared" ca="1" si="39"/>
        <v>121</v>
      </c>
    </row>
    <row r="2517" spans="74:74" x14ac:dyDescent="0.3">
      <c r="BV2517" s="32">
        <f t="shared" ca="1" si="39"/>
        <v>121</v>
      </c>
    </row>
    <row r="2518" spans="74:74" x14ac:dyDescent="0.3">
      <c r="BV2518" s="32">
        <f t="shared" ca="1" si="39"/>
        <v>121</v>
      </c>
    </row>
    <row r="2519" spans="74:74" x14ac:dyDescent="0.3">
      <c r="BV2519" s="32">
        <f t="shared" ca="1" si="39"/>
        <v>121</v>
      </c>
    </row>
    <row r="2520" spans="74:74" x14ac:dyDescent="0.3">
      <c r="BV2520" s="32">
        <f t="shared" ca="1" si="39"/>
        <v>121</v>
      </c>
    </row>
    <row r="2521" spans="74:74" x14ac:dyDescent="0.3">
      <c r="BV2521" s="32">
        <f t="shared" ca="1" si="39"/>
        <v>121</v>
      </c>
    </row>
    <row r="2522" spans="74:74" x14ac:dyDescent="0.3">
      <c r="BV2522" s="32">
        <f t="shared" ca="1" si="39"/>
        <v>121</v>
      </c>
    </row>
    <row r="2523" spans="74:74" x14ac:dyDescent="0.3">
      <c r="BV2523" s="32">
        <f t="shared" ca="1" si="39"/>
        <v>121</v>
      </c>
    </row>
    <row r="2524" spans="74:74" x14ac:dyDescent="0.3">
      <c r="BV2524" s="32">
        <f t="shared" ca="1" si="39"/>
        <v>121</v>
      </c>
    </row>
    <row r="2525" spans="74:74" x14ac:dyDescent="0.3">
      <c r="BV2525" s="32">
        <f t="shared" ca="1" si="39"/>
        <v>121</v>
      </c>
    </row>
    <row r="2526" spans="74:74" x14ac:dyDescent="0.3">
      <c r="BV2526" s="32">
        <f t="shared" ca="1" si="39"/>
        <v>121</v>
      </c>
    </row>
    <row r="2527" spans="74:74" x14ac:dyDescent="0.3">
      <c r="BV2527" s="32">
        <f t="shared" ca="1" si="39"/>
        <v>121</v>
      </c>
    </row>
    <row r="2528" spans="74:74" x14ac:dyDescent="0.3">
      <c r="BV2528" s="32">
        <f t="shared" ca="1" si="39"/>
        <v>121</v>
      </c>
    </row>
    <row r="2529" spans="74:74" x14ac:dyDescent="0.3">
      <c r="BV2529" s="32">
        <f t="shared" ca="1" si="39"/>
        <v>121</v>
      </c>
    </row>
    <row r="2530" spans="74:74" x14ac:dyDescent="0.3">
      <c r="BV2530" s="32">
        <f t="shared" ca="1" si="39"/>
        <v>121</v>
      </c>
    </row>
    <row r="2531" spans="74:74" x14ac:dyDescent="0.3">
      <c r="BV2531" s="32">
        <f t="shared" ca="1" si="39"/>
        <v>121</v>
      </c>
    </row>
    <row r="2532" spans="74:74" x14ac:dyDescent="0.3">
      <c r="BV2532" s="32">
        <f t="shared" ca="1" si="39"/>
        <v>121</v>
      </c>
    </row>
    <row r="2533" spans="74:74" x14ac:dyDescent="0.3">
      <c r="BV2533" s="32">
        <f t="shared" ca="1" si="39"/>
        <v>121</v>
      </c>
    </row>
    <row r="2534" spans="74:74" x14ac:dyDescent="0.3">
      <c r="BV2534" s="32">
        <f t="shared" ca="1" si="39"/>
        <v>121</v>
      </c>
    </row>
    <row r="2535" spans="74:74" x14ac:dyDescent="0.3">
      <c r="BV2535" s="32">
        <f t="shared" ca="1" si="39"/>
        <v>121</v>
      </c>
    </row>
    <row r="2536" spans="74:74" x14ac:dyDescent="0.3">
      <c r="BV2536" s="32">
        <f t="shared" ca="1" si="39"/>
        <v>121</v>
      </c>
    </row>
    <row r="2537" spans="74:74" x14ac:dyDescent="0.3">
      <c r="BV2537" s="32">
        <f t="shared" ca="1" si="39"/>
        <v>121</v>
      </c>
    </row>
    <row r="2538" spans="74:74" x14ac:dyDescent="0.3">
      <c r="BV2538" s="32">
        <f t="shared" ca="1" si="39"/>
        <v>121</v>
      </c>
    </row>
    <row r="2539" spans="74:74" x14ac:dyDescent="0.3">
      <c r="BV2539" s="32">
        <f t="shared" ca="1" si="39"/>
        <v>121</v>
      </c>
    </row>
    <row r="2540" spans="74:74" x14ac:dyDescent="0.3">
      <c r="BV2540" s="32">
        <f t="shared" ca="1" si="39"/>
        <v>121</v>
      </c>
    </row>
    <row r="2541" spans="74:74" x14ac:dyDescent="0.3">
      <c r="BV2541" s="32">
        <f t="shared" ca="1" si="39"/>
        <v>121</v>
      </c>
    </row>
    <row r="2542" spans="74:74" x14ac:dyDescent="0.3">
      <c r="BV2542" s="32">
        <f t="shared" ca="1" si="39"/>
        <v>121</v>
      </c>
    </row>
    <row r="2543" spans="74:74" x14ac:dyDescent="0.3">
      <c r="BV2543" s="32">
        <f t="shared" ca="1" si="39"/>
        <v>121</v>
      </c>
    </row>
    <row r="2544" spans="74:74" x14ac:dyDescent="0.3">
      <c r="BV2544" s="32">
        <f t="shared" ca="1" si="39"/>
        <v>121</v>
      </c>
    </row>
    <row r="2545" spans="74:74" x14ac:dyDescent="0.3">
      <c r="BV2545" s="32">
        <f t="shared" ca="1" si="39"/>
        <v>121</v>
      </c>
    </row>
    <row r="2546" spans="74:74" x14ac:dyDescent="0.3">
      <c r="BV2546" s="32">
        <f t="shared" ca="1" si="39"/>
        <v>121</v>
      </c>
    </row>
    <row r="2547" spans="74:74" x14ac:dyDescent="0.3">
      <c r="BV2547" s="32">
        <f t="shared" ca="1" si="39"/>
        <v>121</v>
      </c>
    </row>
    <row r="2548" spans="74:74" x14ac:dyDescent="0.3">
      <c r="BV2548" s="32">
        <f t="shared" ca="1" si="39"/>
        <v>121</v>
      </c>
    </row>
    <row r="2549" spans="74:74" x14ac:dyDescent="0.3">
      <c r="BV2549" s="32">
        <f t="shared" ca="1" si="39"/>
        <v>121</v>
      </c>
    </row>
    <row r="2550" spans="74:74" x14ac:dyDescent="0.3">
      <c r="BV2550" s="32">
        <f t="shared" ca="1" si="39"/>
        <v>121</v>
      </c>
    </row>
    <row r="2551" spans="74:74" x14ac:dyDescent="0.3">
      <c r="BV2551" s="32">
        <f t="shared" ca="1" si="39"/>
        <v>121</v>
      </c>
    </row>
    <row r="2552" spans="74:74" x14ac:dyDescent="0.3">
      <c r="BV2552" s="32">
        <f t="shared" ca="1" si="39"/>
        <v>121</v>
      </c>
    </row>
    <row r="2553" spans="74:74" x14ac:dyDescent="0.3">
      <c r="BV2553" s="32">
        <f t="shared" ca="1" si="39"/>
        <v>121</v>
      </c>
    </row>
    <row r="2554" spans="74:74" x14ac:dyDescent="0.3">
      <c r="BV2554" s="32">
        <f t="shared" ca="1" si="39"/>
        <v>121</v>
      </c>
    </row>
    <row r="2555" spans="74:74" x14ac:dyDescent="0.3">
      <c r="BV2555" s="32">
        <f t="shared" ca="1" si="39"/>
        <v>121</v>
      </c>
    </row>
    <row r="2556" spans="74:74" x14ac:dyDescent="0.3">
      <c r="BV2556" s="32">
        <f t="shared" ca="1" si="39"/>
        <v>121</v>
      </c>
    </row>
    <row r="2557" spans="74:74" x14ac:dyDescent="0.3">
      <c r="BV2557" s="32">
        <f t="shared" ca="1" si="39"/>
        <v>121</v>
      </c>
    </row>
    <row r="2558" spans="74:74" x14ac:dyDescent="0.3">
      <c r="BV2558" s="32">
        <f t="shared" ca="1" si="39"/>
        <v>121</v>
      </c>
    </row>
    <row r="2559" spans="74:74" x14ac:dyDescent="0.3">
      <c r="BV2559" s="32">
        <f t="shared" ca="1" si="39"/>
        <v>121</v>
      </c>
    </row>
    <row r="2560" spans="74:74" x14ac:dyDescent="0.3">
      <c r="BV2560" s="32">
        <f t="shared" ca="1" si="39"/>
        <v>121</v>
      </c>
    </row>
    <row r="2561" spans="74:74" x14ac:dyDescent="0.3">
      <c r="BV2561" s="32">
        <f t="shared" ca="1" si="39"/>
        <v>121</v>
      </c>
    </row>
    <row r="2562" spans="74:74" x14ac:dyDescent="0.3">
      <c r="BV2562" s="32">
        <f t="shared" ca="1" si="39"/>
        <v>121</v>
      </c>
    </row>
    <row r="2563" spans="74:74" x14ac:dyDescent="0.3">
      <c r="BV2563" s="32">
        <f t="shared" ca="1" si="39"/>
        <v>121</v>
      </c>
    </row>
    <row r="2564" spans="74:74" x14ac:dyDescent="0.3">
      <c r="BV2564" s="32">
        <f t="shared" ca="1" si="39"/>
        <v>121</v>
      </c>
    </row>
    <row r="2565" spans="74:74" x14ac:dyDescent="0.3">
      <c r="BV2565" s="32">
        <f t="shared" ca="1" si="39"/>
        <v>121</v>
      </c>
    </row>
    <row r="2566" spans="74:74" x14ac:dyDescent="0.3">
      <c r="BV2566" s="32">
        <f t="shared" ca="1" si="39"/>
        <v>121</v>
      </c>
    </row>
    <row r="2567" spans="74:74" x14ac:dyDescent="0.3">
      <c r="BV2567" s="32">
        <f t="shared" ca="1" si="39"/>
        <v>121</v>
      </c>
    </row>
    <row r="2568" spans="74:74" x14ac:dyDescent="0.3">
      <c r="BV2568" s="32">
        <f t="shared" ca="1" si="39"/>
        <v>121</v>
      </c>
    </row>
    <row r="2569" spans="74:74" x14ac:dyDescent="0.3">
      <c r="BV2569" s="32">
        <f t="shared" ca="1" si="39"/>
        <v>121</v>
      </c>
    </row>
    <row r="2570" spans="74:74" x14ac:dyDescent="0.3">
      <c r="BV2570" s="32">
        <f t="shared" ca="1" si="39"/>
        <v>121</v>
      </c>
    </row>
    <row r="2571" spans="74:74" x14ac:dyDescent="0.3">
      <c r="BV2571" s="32">
        <f t="shared" ca="1" si="39"/>
        <v>121</v>
      </c>
    </row>
    <row r="2572" spans="74:74" x14ac:dyDescent="0.3">
      <c r="BV2572" s="32">
        <f t="shared" ca="1" si="39"/>
        <v>121</v>
      </c>
    </row>
    <row r="2573" spans="74:74" x14ac:dyDescent="0.3">
      <c r="BV2573" s="32">
        <f t="shared" ref="BV2573:BV2636" ca="1" si="40">INT((TODAY()-$I2573)/365)</f>
        <v>121</v>
      </c>
    </row>
    <row r="2574" spans="74:74" x14ac:dyDescent="0.3">
      <c r="BV2574" s="32">
        <f t="shared" ca="1" si="40"/>
        <v>121</v>
      </c>
    </row>
    <row r="2575" spans="74:74" x14ac:dyDescent="0.3">
      <c r="BV2575" s="32">
        <f t="shared" ca="1" si="40"/>
        <v>121</v>
      </c>
    </row>
    <row r="2576" spans="74:74" x14ac:dyDescent="0.3">
      <c r="BV2576" s="32">
        <f t="shared" ca="1" si="40"/>
        <v>121</v>
      </c>
    </row>
    <row r="2577" spans="74:74" x14ac:dyDescent="0.3">
      <c r="BV2577" s="32">
        <f t="shared" ca="1" si="40"/>
        <v>121</v>
      </c>
    </row>
    <row r="2578" spans="74:74" x14ac:dyDescent="0.3">
      <c r="BV2578" s="32">
        <f t="shared" ca="1" si="40"/>
        <v>121</v>
      </c>
    </row>
    <row r="2579" spans="74:74" x14ac:dyDescent="0.3">
      <c r="BV2579" s="32">
        <f t="shared" ca="1" si="40"/>
        <v>121</v>
      </c>
    </row>
    <row r="2580" spans="74:74" x14ac:dyDescent="0.3">
      <c r="BV2580" s="32">
        <f t="shared" ca="1" si="40"/>
        <v>121</v>
      </c>
    </row>
    <row r="2581" spans="74:74" x14ac:dyDescent="0.3">
      <c r="BV2581" s="32">
        <f t="shared" ca="1" si="40"/>
        <v>121</v>
      </c>
    </row>
    <row r="2582" spans="74:74" x14ac:dyDescent="0.3">
      <c r="BV2582" s="32">
        <f t="shared" ca="1" si="40"/>
        <v>121</v>
      </c>
    </row>
    <row r="2583" spans="74:74" x14ac:dyDescent="0.3">
      <c r="BV2583" s="32">
        <f t="shared" ca="1" si="40"/>
        <v>121</v>
      </c>
    </row>
    <row r="2584" spans="74:74" x14ac:dyDescent="0.3">
      <c r="BV2584" s="32">
        <f t="shared" ca="1" si="40"/>
        <v>121</v>
      </c>
    </row>
    <row r="2585" spans="74:74" x14ac:dyDescent="0.3">
      <c r="BV2585" s="32">
        <f t="shared" ca="1" si="40"/>
        <v>121</v>
      </c>
    </row>
    <row r="2586" spans="74:74" x14ac:dyDescent="0.3">
      <c r="BV2586" s="32">
        <f t="shared" ca="1" si="40"/>
        <v>121</v>
      </c>
    </row>
    <row r="2587" spans="74:74" x14ac:dyDescent="0.3">
      <c r="BV2587" s="32">
        <f t="shared" ca="1" si="40"/>
        <v>121</v>
      </c>
    </row>
    <row r="2588" spans="74:74" x14ac:dyDescent="0.3">
      <c r="BV2588" s="32">
        <f t="shared" ca="1" si="40"/>
        <v>121</v>
      </c>
    </row>
    <row r="2589" spans="74:74" x14ac:dyDescent="0.3">
      <c r="BV2589" s="32">
        <f t="shared" ca="1" si="40"/>
        <v>121</v>
      </c>
    </row>
    <row r="2590" spans="74:74" x14ac:dyDescent="0.3">
      <c r="BV2590" s="32">
        <f t="shared" ca="1" si="40"/>
        <v>121</v>
      </c>
    </row>
    <row r="2591" spans="74:74" x14ac:dyDescent="0.3">
      <c r="BV2591" s="32">
        <f t="shared" ca="1" si="40"/>
        <v>121</v>
      </c>
    </row>
    <row r="2592" spans="74:74" x14ac:dyDescent="0.3">
      <c r="BV2592" s="32">
        <f t="shared" ca="1" si="40"/>
        <v>121</v>
      </c>
    </row>
    <row r="2593" spans="74:74" x14ac:dyDescent="0.3">
      <c r="BV2593" s="32">
        <f t="shared" ca="1" si="40"/>
        <v>121</v>
      </c>
    </row>
    <row r="2594" spans="74:74" x14ac:dyDescent="0.3">
      <c r="BV2594" s="32">
        <f t="shared" ca="1" si="40"/>
        <v>121</v>
      </c>
    </row>
    <row r="2595" spans="74:74" x14ac:dyDescent="0.3">
      <c r="BV2595" s="32">
        <f t="shared" ca="1" si="40"/>
        <v>121</v>
      </c>
    </row>
    <row r="2596" spans="74:74" x14ac:dyDescent="0.3">
      <c r="BV2596" s="32">
        <f t="shared" ca="1" si="40"/>
        <v>121</v>
      </c>
    </row>
    <row r="2597" spans="74:74" x14ac:dyDescent="0.3">
      <c r="BV2597" s="32">
        <f t="shared" ca="1" si="40"/>
        <v>121</v>
      </c>
    </row>
    <row r="2598" spans="74:74" x14ac:dyDescent="0.3">
      <c r="BV2598" s="32">
        <f t="shared" ca="1" si="40"/>
        <v>121</v>
      </c>
    </row>
    <row r="2599" spans="74:74" x14ac:dyDescent="0.3">
      <c r="BV2599" s="32">
        <f t="shared" ca="1" si="40"/>
        <v>121</v>
      </c>
    </row>
    <row r="2600" spans="74:74" x14ac:dyDescent="0.3">
      <c r="BV2600" s="32">
        <f t="shared" ca="1" si="40"/>
        <v>121</v>
      </c>
    </row>
    <row r="2601" spans="74:74" x14ac:dyDescent="0.3">
      <c r="BV2601" s="32">
        <f t="shared" ca="1" si="40"/>
        <v>121</v>
      </c>
    </row>
    <row r="2602" spans="74:74" x14ac:dyDescent="0.3">
      <c r="BV2602" s="32">
        <f t="shared" ca="1" si="40"/>
        <v>121</v>
      </c>
    </row>
    <row r="2603" spans="74:74" x14ac:dyDescent="0.3">
      <c r="BV2603" s="32">
        <f t="shared" ca="1" si="40"/>
        <v>121</v>
      </c>
    </row>
    <row r="2604" spans="74:74" x14ac:dyDescent="0.3">
      <c r="BV2604" s="32">
        <f t="shared" ca="1" si="40"/>
        <v>121</v>
      </c>
    </row>
    <row r="2605" spans="74:74" x14ac:dyDescent="0.3">
      <c r="BV2605" s="32">
        <f t="shared" ca="1" si="40"/>
        <v>121</v>
      </c>
    </row>
    <row r="2606" spans="74:74" x14ac:dyDescent="0.3">
      <c r="BV2606" s="32">
        <f t="shared" ca="1" si="40"/>
        <v>121</v>
      </c>
    </row>
    <row r="2607" spans="74:74" x14ac:dyDescent="0.3">
      <c r="BV2607" s="32">
        <f t="shared" ca="1" si="40"/>
        <v>121</v>
      </c>
    </row>
    <row r="2608" spans="74:74" x14ac:dyDescent="0.3">
      <c r="BV2608" s="32">
        <f t="shared" ca="1" si="40"/>
        <v>121</v>
      </c>
    </row>
    <row r="2609" spans="74:74" x14ac:dyDescent="0.3">
      <c r="BV2609" s="32">
        <f t="shared" ca="1" si="40"/>
        <v>121</v>
      </c>
    </row>
    <row r="2610" spans="74:74" x14ac:dyDescent="0.3">
      <c r="BV2610" s="32">
        <f t="shared" ca="1" si="40"/>
        <v>121</v>
      </c>
    </row>
    <row r="2611" spans="74:74" x14ac:dyDescent="0.3">
      <c r="BV2611" s="32">
        <f t="shared" ca="1" si="40"/>
        <v>121</v>
      </c>
    </row>
    <row r="2612" spans="74:74" x14ac:dyDescent="0.3">
      <c r="BV2612" s="32">
        <f t="shared" ca="1" si="40"/>
        <v>121</v>
      </c>
    </row>
    <row r="2613" spans="74:74" x14ac:dyDescent="0.3">
      <c r="BV2613" s="32">
        <f t="shared" ca="1" si="40"/>
        <v>121</v>
      </c>
    </row>
    <row r="2614" spans="74:74" x14ac:dyDescent="0.3">
      <c r="BV2614" s="32">
        <f t="shared" ca="1" si="40"/>
        <v>121</v>
      </c>
    </row>
    <row r="2615" spans="74:74" x14ac:dyDescent="0.3">
      <c r="BV2615" s="32">
        <f t="shared" ca="1" si="40"/>
        <v>121</v>
      </c>
    </row>
    <row r="2616" spans="74:74" x14ac:dyDescent="0.3">
      <c r="BV2616" s="32">
        <f t="shared" ca="1" si="40"/>
        <v>121</v>
      </c>
    </row>
    <row r="2617" spans="74:74" x14ac:dyDescent="0.3">
      <c r="BV2617" s="32">
        <f t="shared" ca="1" si="40"/>
        <v>121</v>
      </c>
    </row>
    <row r="2618" spans="74:74" x14ac:dyDescent="0.3">
      <c r="BV2618" s="32">
        <f t="shared" ca="1" si="40"/>
        <v>121</v>
      </c>
    </row>
    <row r="2619" spans="74:74" x14ac:dyDescent="0.3">
      <c r="BV2619" s="32">
        <f t="shared" ca="1" si="40"/>
        <v>121</v>
      </c>
    </row>
    <row r="2620" spans="74:74" x14ac:dyDescent="0.3">
      <c r="BV2620" s="32">
        <f t="shared" ca="1" si="40"/>
        <v>121</v>
      </c>
    </row>
    <row r="2621" spans="74:74" x14ac:dyDescent="0.3">
      <c r="BV2621" s="32">
        <f t="shared" ca="1" si="40"/>
        <v>121</v>
      </c>
    </row>
    <row r="2622" spans="74:74" x14ac:dyDescent="0.3">
      <c r="BV2622" s="32">
        <f t="shared" ca="1" si="40"/>
        <v>121</v>
      </c>
    </row>
    <row r="2623" spans="74:74" x14ac:dyDescent="0.3">
      <c r="BV2623" s="32">
        <f t="shared" ca="1" si="40"/>
        <v>121</v>
      </c>
    </row>
    <row r="2624" spans="74:74" x14ac:dyDescent="0.3">
      <c r="BV2624" s="32">
        <f t="shared" ca="1" si="40"/>
        <v>121</v>
      </c>
    </row>
    <row r="2625" spans="74:74" x14ac:dyDescent="0.3">
      <c r="BV2625" s="32">
        <f t="shared" ca="1" si="40"/>
        <v>121</v>
      </c>
    </row>
    <row r="2626" spans="74:74" x14ac:dyDescent="0.3">
      <c r="BV2626" s="32">
        <f t="shared" ca="1" si="40"/>
        <v>121</v>
      </c>
    </row>
    <row r="2627" spans="74:74" x14ac:dyDescent="0.3">
      <c r="BV2627" s="32">
        <f t="shared" ca="1" si="40"/>
        <v>121</v>
      </c>
    </row>
    <row r="2628" spans="74:74" x14ac:dyDescent="0.3">
      <c r="BV2628" s="32">
        <f t="shared" ca="1" si="40"/>
        <v>121</v>
      </c>
    </row>
    <row r="2629" spans="74:74" x14ac:dyDescent="0.3">
      <c r="BV2629" s="32">
        <f t="shared" ca="1" si="40"/>
        <v>121</v>
      </c>
    </row>
    <row r="2630" spans="74:74" x14ac:dyDescent="0.3">
      <c r="BV2630" s="32">
        <f t="shared" ca="1" si="40"/>
        <v>121</v>
      </c>
    </row>
    <row r="2631" spans="74:74" x14ac:dyDescent="0.3">
      <c r="BV2631" s="32">
        <f t="shared" ca="1" si="40"/>
        <v>121</v>
      </c>
    </row>
    <row r="2632" spans="74:74" x14ac:dyDescent="0.3">
      <c r="BV2632" s="32">
        <f t="shared" ca="1" si="40"/>
        <v>121</v>
      </c>
    </row>
    <row r="2633" spans="74:74" x14ac:dyDescent="0.3">
      <c r="BV2633" s="32">
        <f t="shared" ca="1" si="40"/>
        <v>121</v>
      </c>
    </row>
    <row r="2634" spans="74:74" x14ac:dyDescent="0.3">
      <c r="BV2634" s="32">
        <f t="shared" ca="1" si="40"/>
        <v>121</v>
      </c>
    </row>
    <row r="2635" spans="74:74" x14ac:dyDescent="0.3">
      <c r="BV2635" s="32">
        <f t="shared" ca="1" si="40"/>
        <v>121</v>
      </c>
    </row>
    <row r="2636" spans="74:74" x14ac:dyDescent="0.3">
      <c r="BV2636" s="32">
        <f t="shared" ca="1" si="40"/>
        <v>121</v>
      </c>
    </row>
    <row r="2637" spans="74:74" x14ac:dyDescent="0.3">
      <c r="BV2637" s="32">
        <f t="shared" ref="BV2637:BV2700" ca="1" si="41">INT((TODAY()-$I2637)/365)</f>
        <v>121</v>
      </c>
    </row>
    <row r="2638" spans="74:74" x14ac:dyDescent="0.3">
      <c r="BV2638" s="32">
        <f t="shared" ca="1" si="41"/>
        <v>121</v>
      </c>
    </row>
    <row r="2639" spans="74:74" x14ac:dyDescent="0.3">
      <c r="BV2639" s="32">
        <f t="shared" ca="1" si="41"/>
        <v>121</v>
      </c>
    </row>
    <row r="2640" spans="74:74" x14ac:dyDescent="0.3">
      <c r="BV2640" s="32">
        <f t="shared" ca="1" si="41"/>
        <v>121</v>
      </c>
    </row>
    <row r="2641" spans="74:74" x14ac:dyDescent="0.3">
      <c r="BV2641" s="32">
        <f t="shared" ca="1" si="41"/>
        <v>121</v>
      </c>
    </row>
    <row r="2642" spans="74:74" x14ac:dyDescent="0.3">
      <c r="BV2642" s="32">
        <f t="shared" ca="1" si="41"/>
        <v>121</v>
      </c>
    </row>
    <row r="2643" spans="74:74" x14ac:dyDescent="0.3">
      <c r="BV2643" s="32">
        <f t="shared" ca="1" si="41"/>
        <v>121</v>
      </c>
    </row>
    <row r="2644" spans="74:74" x14ac:dyDescent="0.3">
      <c r="BV2644" s="32">
        <f t="shared" ca="1" si="41"/>
        <v>121</v>
      </c>
    </row>
    <row r="2645" spans="74:74" x14ac:dyDescent="0.3">
      <c r="BV2645" s="32">
        <f t="shared" ca="1" si="41"/>
        <v>121</v>
      </c>
    </row>
    <row r="2646" spans="74:74" x14ac:dyDescent="0.3">
      <c r="BV2646" s="32">
        <f t="shared" ca="1" si="41"/>
        <v>121</v>
      </c>
    </row>
    <row r="2647" spans="74:74" x14ac:dyDescent="0.3">
      <c r="BV2647" s="32">
        <f t="shared" ca="1" si="41"/>
        <v>121</v>
      </c>
    </row>
    <row r="2648" spans="74:74" x14ac:dyDescent="0.3">
      <c r="BV2648" s="32">
        <f t="shared" ca="1" si="41"/>
        <v>121</v>
      </c>
    </row>
    <row r="2649" spans="74:74" x14ac:dyDescent="0.3">
      <c r="BV2649" s="32">
        <f t="shared" ca="1" si="41"/>
        <v>121</v>
      </c>
    </row>
    <row r="2650" spans="74:74" x14ac:dyDescent="0.3">
      <c r="BV2650" s="32">
        <f t="shared" ca="1" si="41"/>
        <v>121</v>
      </c>
    </row>
    <row r="2651" spans="74:74" x14ac:dyDescent="0.3">
      <c r="BV2651" s="32">
        <f t="shared" ca="1" si="41"/>
        <v>121</v>
      </c>
    </row>
    <row r="2652" spans="74:74" x14ac:dyDescent="0.3">
      <c r="BV2652" s="32">
        <f t="shared" ca="1" si="41"/>
        <v>121</v>
      </c>
    </row>
    <row r="2653" spans="74:74" x14ac:dyDescent="0.3">
      <c r="BV2653" s="32">
        <f t="shared" ca="1" si="41"/>
        <v>121</v>
      </c>
    </row>
    <row r="2654" spans="74:74" x14ac:dyDescent="0.3">
      <c r="BV2654" s="32">
        <f t="shared" ca="1" si="41"/>
        <v>121</v>
      </c>
    </row>
    <row r="2655" spans="74:74" x14ac:dyDescent="0.3">
      <c r="BV2655" s="32">
        <f t="shared" ca="1" si="41"/>
        <v>121</v>
      </c>
    </row>
    <row r="2656" spans="74:74" x14ac:dyDescent="0.3">
      <c r="BV2656" s="32">
        <f t="shared" ca="1" si="41"/>
        <v>121</v>
      </c>
    </row>
    <row r="2657" spans="74:74" x14ac:dyDescent="0.3">
      <c r="BV2657" s="32">
        <f t="shared" ca="1" si="41"/>
        <v>121</v>
      </c>
    </row>
    <row r="2658" spans="74:74" x14ac:dyDescent="0.3">
      <c r="BV2658" s="32">
        <f t="shared" ca="1" si="41"/>
        <v>121</v>
      </c>
    </row>
    <row r="2659" spans="74:74" x14ac:dyDescent="0.3">
      <c r="BV2659" s="32">
        <f t="shared" ca="1" si="41"/>
        <v>121</v>
      </c>
    </row>
    <row r="2660" spans="74:74" x14ac:dyDescent="0.3">
      <c r="BV2660" s="32">
        <f t="shared" ca="1" si="41"/>
        <v>121</v>
      </c>
    </row>
    <row r="2661" spans="74:74" x14ac:dyDescent="0.3">
      <c r="BV2661" s="32">
        <f t="shared" ca="1" si="41"/>
        <v>121</v>
      </c>
    </row>
    <row r="2662" spans="74:74" x14ac:dyDescent="0.3">
      <c r="BV2662" s="32">
        <f t="shared" ca="1" si="41"/>
        <v>121</v>
      </c>
    </row>
    <row r="2663" spans="74:74" x14ac:dyDescent="0.3">
      <c r="BV2663" s="32">
        <f t="shared" ca="1" si="41"/>
        <v>121</v>
      </c>
    </row>
    <row r="2664" spans="74:74" x14ac:dyDescent="0.3">
      <c r="BV2664" s="32">
        <f t="shared" ca="1" si="41"/>
        <v>121</v>
      </c>
    </row>
    <row r="2665" spans="74:74" x14ac:dyDescent="0.3">
      <c r="BV2665" s="32">
        <f t="shared" ca="1" si="41"/>
        <v>121</v>
      </c>
    </row>
    <row r="2666" spans="74:74" x14ac:dyDescent="0.3">
      <c r="BV2666" s="32">
        <f t="shared" ca="1" si="41"/>
        <v>121</v>
      </c>
    </row>
    <row r="2667" spans="74:74" x14ac:dyDescent="0.3">
      <c r="BV2667" s="32">
        <f t="shared" ca="1" si="41"/>
        <v>121</v>
      </c>
    </row>
    <row r="2668" spans="74:74" x14ac:dyDescent="0.3">
      <c r="BV2668" s="32">
        <f t="shared" ca="1" si="41"/>
        <v>121</v>
      </c>
    </row>
    <row r="2669" spans="74:74" x14ac:dyDescent="0.3">
      <c r="BV2669" s="32">
        <f t="shared" ca="1" si="41"/>
        <v>121</v>
      </c>
    </row>
    <row r="2670" spans="74:74" x14ac:dyDescent="0.3">
      <c r="BV2670" s="32">
        <f t="shared" ca="1" si="41"/>
        <v>121</v>
      </c>
    </row>
    <row r="2671" spans="74:74" x14ac:dyDescent="0.3">
      <c r="BV2671" s="32">
        <f t="shared" ca="1" si="41"/>
        <v>121</v>
      </c>
    </row>
    <row r="2672" spans="74:74" x14ac:dyDescent="0.3">
      <c r="BV2672" s="32">
        <f t="shared" ca="1" si="41"/>
        <v>121</v>
      </c>
    </row>
    <row r="2673" spans="74:74" x14ac:dyDescent="0.3">
      <c r="BV2673" s="32">
        <f t="shared" ca="1" si="41"/>
        <v>121</v>
      </c>
    </row>
    <row r="2674" spans="74:74" x14ac:dyDescent="0.3">
      <c r="BV2674" s="32">
        <f t="shared" ca="1" si="41"/>
        <v>121</v>
      </c>
    </row>
    <row r="2675" spans="74:74" x14ac:dyDescent="0.3">
      <c r="BV2675" s="32">
        <f t="shared" ca="1" si="41"/>
        <v>121</v>
      </c>
    </row>
    <row r="2676" spans="74:74" x14ac:dyDescent="0.3">
      <c r="BV2676" s="32">
        <f t="shared" ca="1" si="41"/>
        <v>121</v>
      </c>
    </row>
    <row r="2677" spans="74:74" x14ac:dyDescent="0.3">
      <c r="BV2677" s="32">
        <f t="shared" ca="1" si="41"/>
        <v>121</v>
      </c>
    </row>
    <row r="2678" spans="74:74" x14ac:dyDescent="0.3">
      <c r="BV2678" s="32">
        <f t="shared" ca="1" si="41"/>
        <v>121</v>
      </c>
    </row>
    <row r="2679" spans="74:74" x14ac:dyDescent="0.3">
      <c r="BV2679" s="32">
        <f t="shared" ca="1" si="41"/>
        <v>121</v>
      </c>
    </row>
    <row r="2680" spans="74:74" x14ac:dyDescent="0.3">
      <c r="BV2680" s="32">
        <f t="shared" ca="1" si="41"/>
        <v>121</v>
      </c>
    </row>
    <row r="2681" spans="74:74" x14ac:dyDescent="0.3">
      <c r="BV2681" s="32">
        <f t="shared" ca="1" si="41"/>
        <v>121</v>
      </c>
    </row>
    <row r="2682" spans="74:74" x14ac:dyDescent="0.3">
      <c r="BV2682" s="32">
        <f t="shared" ca="1" si="41"/>
        <v>121</v>
      </c>
    </row>
    <row r="2683" spans="74:74" x14ac:dyDescent="0.3">
      <c r="BV2683" s="32">
        <f t="shared" ca="1" si="41"/>
        <v>121</v>
      </c>
    </row>
    <row r="2684" spans="74:74" x14ac:dyDescent="0.3">
      <c r="BV2684" s="32">
        <f t="shared" ca="1" si="41"/>
        <v>121</v>
      </c>
    </row>
    <row r="2685" spans="74:74" x14ac:dyDescent="0.3">
      <c r="BV2685" s="32">
        <f t="shared" ca="1" si="41"/>
        <v>121</v>
      </c>
    </row>
    <row r="2686" spans="74:74" x14ac:dyDescent="0.3">
      <c r="BV2686" s="32">
        <f t="shared" ca="1" si="41"/>
        <v>121</v>
      </c>
    </row>
    <row r="2687" spans="74:74" x14ac:dyDescent="0.3">
      <c r="BV2687" s="32">
        <f t="shared" ca="1" si="41"/>
        <v>121</v>
      </c>
    </row>
    <row r="2688" spans="74:74" x14ac:dyDescent="0.3">
      <c r="BV2688" s="32">
        <f t="shared" ca="1" si="41"/>
        <v>121</v>
      </c>
    </row>
    <row r="2689" spans="74:74" x14ac:dyDescent="0.3">
      <c r="BV2689" s="32">
        <f t="shared" ca="1" si="41"/>
        <v>121</v>
      </c>
    </row>
    <row r="2690" spans="74:74" x14ac:dyDescent="0.3">
      <c r="BV2690" s="32">
        <f t="shared" ca="1" si="41"/>
        <v>121</v>
      </c>
    </row>
    <row r="2691" spans="74:74" x14ac:dyDescent="0.3">
      <c r="BV2691" s="32">
        <f t="shared" ca="1" si="41"/>
        <v>121</v>
      </c>
    </row>
    <row r="2692" spans="74:74" x14ac:dyDescent="0.3">
      <c r="BV2692" s="32">
        <f t="shared" ca="1" si="41"/>
        <v>121</v>
      </c>
    </row>
    <row r="2693" spans="74:74" x14ac:dyDescent="0.3">
      <c r="BV2693" s="32">
        <f t="shared" ca="1" si="41"/>
        <v>121</v>
      </c>
    </row>
    <row r="2694" spans="74:74" x14ac:dyDescent="0.3">
      <c r="BV2694" s="32">
        <f t="shared" ca="1" si="41"/>
        <v>121</v>
      </c>
    </row>
    <row r="2695" spans="74:74" x14ac:dyDescent="0.3">
      <c r="BV2695" s="32">
        <f t="shared" ca="1" si="41"/>
        <v>121</v>
      </c>
    </row>
    <row r="2696" spans="74:74" x14ac:dyDescent="0.3">
      <c r="BV2696" s="32">
        <f t="shared" ca="1" si="41"/>
        <v>121</v>
      </c>
    </row>
    <row r="2697" spans="74:74" x14ac:dyDescent="0.3">
      <c r="BV2697" s="32">
        <f t="shared" ca="1" si="41"/>
        <v>121</v>
      </c>
    </row>
    <row r="2698" spans="74:74" x14ac:dyDescent="0.3">
      <c r="BV2698" s="32">
        <f t="shared" ca="1" si="41"/>
        <v>121</v>
      </c>
    </row>
    <row r="2699" spans="74:74" x14ac:dyDescent="0.3">
      <c r="BV2699" s="32">
        <f t="shared" ca="1" si="41"/>
        <v>121</v>
      </c>
    </row>
    <row r="2700" spans="74:74" x14ac:dyDescent="0.3">
      <c r="BV2700" s="32">
        <f t="shared" ca="1" si="41"/>
        <v>121</v>
      </c>
    </row>
    <row r="2701" spans="74:74" x14ac:dyDescent="0.3">
      <c r="BV2701" s="32">
        <f t="shared" ref="BV2701:BV2764" ca="1" si="42">INT((TODAY()-$I2701)/365)</f>
        <v>121</v>
      </c>
    </row>
    <row r="2702" spans="74:74" x14ac:dyDescent="0.3">
      <c r="BV2702" s="32">
        <f t="shared" ca="1" si="42"/>
        <v>121</v>
      </c>
    </row>
    <row r="2703" spans="74:74" x14ac:dyDescent="0.3">
      <c r="BV2703" s="32">
        <f t="shared" ca="1" si="42"/>
        <v>121</v>
      </c>
    </row>
    <row r="2704" spans="74:74" x14ac:dyDescent="0.3">
      <c r="BV2704" s="32">
        <f t="shared" ca="1" si="42"/>
        <v>121</v>
      </c>
    </row>
    <row r="2705" spans="74:74" x14ac:dyDescent="0.3">
      <c r="BV2705" s="32">
        <f t="shared" ca="1" si="42"/>
        <v>121</v>
      </c>
    </row>
    <row r="2706" spans="74:74" x14ac:dyDescent="0.3">
      <c r="BV2706" s="32">
        <f t="shared" ca="1" si="42"/>
        <v>121</v>
      </c>
    </row>
    <row r="2707" spans="74:74" x14ac:dyDescent="0.3">
      <c r="BV2707" s="32">
        <f t="shared" ca="1" si="42"/>
        <v>121</v>
      </c>
    </row>
    <row r="2708" spans="74:74" x14ac:dyDescent="0.3">
      <c r="BV2708" s="32">
        <f t="shared" ca="1" si="42"/>
        <v>121</v>
      </c>
    </row>
    <row r="2709" spans="74:74" x14ac:dyDescent="0.3">
      <c r="BV2709" s="32">
        <f t="shared" ca="1" si="42"/>
        <v>121</v>
      </c>
    </row>
    <row r="2710" spans="74:74" x14ac:dyDescent="0.3">
      <c r="BV2710" s="32">
        <f t="shared" ca="1" si="42"/>
        <v>121</v>
      </c>
    </row>
    <row r="2711" spans="74:74" x14ac:dyDescent="0.3">
      <c r="BV2711" s="32">
        <f t="shared" ca="1" si="42"/>
        <v>121</v>
      </c>
    </row>
    <row r="2712" spans="74:74" x14ac:dyDescent="0.3">
      <c r="BV2712" s="32">
        <f t="shared" ca="1" si="42"/>
        <v>121</v>
      </c>
    </row>
    <row r="2713" spans="74:74" x14ac:dyDescent="0.3">
      <c r="BV2713" s="32">
        <f t="shared" ca="1" si="42"/>
        <v>121</v>
      </c>
    </row>
    <row r="2714" spans="74:74" x14ac:dyDescent="0.3">
      <c r="BV2714" s="32">
        <f t="shared" ca="1" si="42"/>
        <v>121</v>
      </c>
    </row>
    <row r="2715" spans="74:74" x14ac:dyDescent="0.3">
      <c r="BV2715" s="32">
        <f t="shared" ca="1" si="42"/>
        <v>121</v>
      </c>
    </row>
    <row r="2716" spans="74:74" x14ac:dyDescent="0.3">
      <c r="BV2716" s="32">
        <f t="shared" ca="1" si="42"/>
        <v>121</v>
      </c>
    </row>
    <row r="2717" spans="74:74" x14ac:dyDescent="0.3">
      <c r="BV2717" s="32">
        <f t="shared" ca="1" si="42"/>
        <v>121</v>
      </c>
    </row>
    <row r="2718" spans="74:74" x14ac:dyDescent="0.3">
      <c r="BV2718" s="32">
        <f t="shared" ca="1" si="42"/>
        <v>121</v>
      </c>
    </row>
    <row r="2719" spans="74:74" x14ac:dyDescent="0.3">
      <c r="BV2719" s="32">
        <f t="shared" ca="1" si="42"/>
        <v>121</v>
      </c>
    </row>
    <row r="2720" spans="74:74" x14ac:dyDescent="0.3">
      <c r="BV2720" s="32">
        <f t="shared" ca="1" si="42"/>
        <v>121</v>
      </c>
    </row>
    <row r="2721" spans="74:74" x14ac:dyDescent="0.3">
      <c r="BV2721" s="32">
        <f t="shared" ca="1" si="42"/>
        <v>121</v>
      </c>
    </row>
    <row r="2722" spans="74:74" x14ac:dyDescent="0.3">
      <c r="BV2722" s="32">
        <f t="shared" ca="1" si="42"/>
        <v>121</v>
      </c>
    </row>
    <row r="2723" spans="74:74" x14ac:dyDescent="0.3">
      <c r="BV2723" s="32">
        <f t="shared" ca="1" si="42"/>
        <v>121</v>
      </c>
    </row>
    <row r="2724" spans="74:74" x14ac:dyDescent="0.3">
      <c r="BV2724" s="32">
        <f t="shared" ca="1" si="42"/>
        <v>121</v>
      </c>
    </row>
    <row r="2725" spans="74:74" x14ac:dyDescent="0.3">
      <c r="BV2725" s="32">
        <f t="shared" ca="1" si="42"/>
        <v>121</v>
      </c>
    </row>
    <row r="2726" spans="74:74" x14ac:dyDescent="0.3">
      <c r="BV2726" s="32">
        <f t="shared" ca="1" si="42"/>
        <v>121</v>
      </c>
    </row>
    <row r="2727" spans="74:74" x14ac:dyDescent="0.3">
      <c r="BV2727" s="32">
        <f t="shared" ca="1" si="42"/>
        <v>121</v>
      </c>
    </row>
    <row r="2728" spans="74:74" x14ac:dyDescent="0.3">
      <c r="BV2728" s="32">
        <f t="shared" ca="1" si="42"/>
        <v>121</v>
      </c>
    </row>
    <row r="2729" spans="74:74" x14ac:dyDescent="0.3">
      <c r="BV2729" s="32">
        <f t="shared" ca="1" si="42"/>
        <v>121</v>
      </c>
    </row>
    <row r="2730" spans="74:74" x14ac:dyDescent="0.3">
      <c r="BV2730" s="32">
        <f t="shared" ca="1" si="42"/>
        <v>121</v>
      </c>
    </row>
    <row r="2731" spans="74:74" x14ac:dyDescent="0.3">
      <c r="BV2731" s="32">
        <f t="shared" ca="1" si="42"/>
        <v>121</v>
      </c>
    </row>
    <row r="2732" spans="74:74" x14ac:dyDescent="0.3">
      <c r="BV2732" s="32">
        <f t="shared" ca="1" si="42"/>
        <v>121</v>
      </c>
    </row>
    <row r="2733" spans="74:74" x14ac:dyDescent="0.3">
      <c r="BV2733" s="32">
        <f t="shared" ca="1" si="42"/>
        <v>121</v>
      </c>
    </row>
    <row r="2734" spans="74:74" x14ac:dyDescent="0.3">
      <c r="BV2734" s="32">
        <f t="shared" ca="1" si="42"/>
        <v>121</v>
      </c>
    </row>
    <row r="2735" spans="74:74" x14ac:dyDescent="0.3">
      <c r="BV2735" s="32">
        <f t="shared" ca="1" si="42"/>
        <v>121</v>
      </c>
    </row>
    <row r="2736" spans="74:74" x14ac:dyDescent="0.3">
      <c r="BV2736" s="32">
        <f t="shared" ca="1" si="42"/>
        <v>121</v>
      </c>
    </row>
    <row r="2737" spans="74:74" x14ac:dyDescent="0.3">
      <c r="BV2737" s="32">
        <f t="shared" ca="1" si="42"/>
        <v>121</v>
      </c>
    </row>
    <row r="2738" spans="74:74" x14ac:dyDescent="0.3">
      <c r="BV2738" s="32">
        <f t="shared" ca="1" si="42"/>
        <v>121</v>
      </c>
    </row>
    <row r="2739" spans="74:74" x14ac:dyDescent="0.3">
      <c r="BV2739" s="32">
        <f t="shared" ca="1" si="42"/>
        <v>121</v>
      </c>
    </row>
    <row r="2740" spans="74:74" x14ac:dyDescent="0.3">
      <c r="BV2740" s="32">
        <f t="shared" ca="1" si="42"/>
        <v>121</v>
      </c>
    </row>
    <row r="2741" spans="74:74" x14ac:dyDescent="0.3">
      <c r="BV2741" s="32">
        <f t="shared" ca="1" si="42"/>
        <v>121</v>
      </c>
    </row>
    <row r="2742" spans="74:74" x14ac:dyDescent="0.3">
      <c r="BV2742" s="32">
        <f t="shared" ca="1" si="42"/>
        <v>121</v>
      </c>
    </row>
    <row r="2743" spans="74:74" x14ac:dyDescent="0.3">
      <c r="BV2743" s="32">
        <f t="shared" ca="1" si="42"/>
        <v>121</v>
      </c>
    </row>
    <row r="2744" spans="74:74" x14ac:dyDescent="0.3">
      <c r="BV2744" s="32">
        <f t="shared" ca="1" si="42"/>
        <v>121</v>
      </c>
    </row>
    <row r="2745" spans="74:74" x14ac:dyDescent="0.3">
      <c r="BV2745" s="32">
        <f t="shared" ca="1" si="42"/>
        <v>121</v>
      </c>
    </row>
    <row r="2746" spans="74:74" x14ac:dyDescent="0.3">
      <c r="BV2746" s="32">
        <f t="shared" ca="1" si="42"/>
        <v>121</v>
      </c>
    </row>
    <row r="2747" spans="74:74" x14ac:dyDescent="0.3">
      <c r="BV2747" s="32">
        <f t="shared" ca="1" si="42"/>
        <v>121</v>
      </c>
    </row>
    <row r="2748" spans="74:74" x14ac:dyDescent="0.3">
      <c r="BV2748" s="32">
        <f t="shared" ca="1" si="42"/>
        <v>121</v>
      </c>
    </row>
    <row r="2749" spans="74:74" x14ac:dyDescent="0.3">
      <c r="BV2749" s="32">
        <f t="shared" ca="1" si="42"/>
        <v>121</v>
      </c>
    </row>
    <row r="2750" spans="74:74" x14ac:dyDescent="0.3">
      <c r="BV2750" s="32">
        <f t="shared" ca="1" si="42"/>
        <v>121</v>
      </c>
    </row>
    <row r="2751" spans="74:74" x14ac:dyDescent="0.3">
      <c r="BV2751" s="32">
        <f t="shared" ca="1" si="42"/>
        <v>121</v>
      </c>
    </row>
    <row r="2752" spans="74:74" x14ac:dyDescent="0.3">
      <c r="BV2752" s="32">
        <f t="shared" ca="1" si="42"/>
        <v>121</v>
      </c>
    </row>
    <row r="2753" spans="74:74" x14ac:dyDescent="0.3">
      <c r="BV2753" s="32">
        <f t="shared" ca="1" si="42"/>
        <v>121</v>
      </c>
    </row>
    <row r="2754" spans="74:74" x14ac:dyDescent="0.3">
      <c r="BV2754" s="32">
        <f t="shared" ca="1" si="42"/>
        <v>121</v>
      </c>
    </row>
    <row r="2755" spans="74:74" x14ac:dyDescent="0.3">
      <c r="BV2755" s="32">
        <f t="shared" ca="1" si="42"/>
        <v>121</v>
      </c>
    </row>
    <row r="2756" spans="74:74" x14ac:dyDescent="0.3">
      <c r="BV2756" s="32">
        <f t="shared" ca="1" si="42"/>
        <v>121</v>
      </c>
    </row>
    <row r="2757" spans="74:74" x14ac:dyDescent="0.3">
      <c r="BV2757" s="32">
        <f t="shared" ca="1" si="42"/>
        <v>121</v>
      </c>
    </row>
    <row r="2758" spans="74:74" x14ac:dyDescent="0.3">
      <c r="BV2758" s="32">
        <f t="shared" ca="1" si="42"/>
        <v>121</v>
      </c>
    </row>
    <row r="2759" spans="74:74" x14ac:dyDescent="0.3">
      <c r="BV2759" s="32">
        <f t="shared" ca="1" si="42"/>
        <v>121</v>
      </c>
    </row>
    <row r="2760" spans="74:74" x14ac:dyDescent="0.3">
      <c r="BV2760" s="32">
        <f t="shared" ca="1" si="42"/>
        <v>121</v>
      </c>
    </row>
    <row r="2761" spans="74:74" x14ac:dyDescent="0.3">
      <c r="BV2761" s="32">
        <f t="shared" ca="1" si="42"/>
        <v>121</v>
      </c>
    </row>
    <row r="2762" spans="74:74" x14ac:dyDescent="0.3">
      <c r="BV2762" s="32">
        <f t="shared" ca="1" si="42"/>
        <v>121</v>
      </c>
    </row>
    <row r="2763" spans="74:74" x14ac:dyDescent="0.3">
      <c r="BV2763" s="32">
        <f t="shared" ca="1" si="42"/>
        <v>121</v>
      </c>
    </row>
    <row r="2764" spans="74:74" x14ac:dyDescent="0.3">
      <c r="BV2764" s="32">
        <f t="shared" ca="1" si="42"/>
        <v>121</v>
      </c>
    </row>
    <row r="2765" spans="74:74" x14ac:dyDescent="0.3">
      <c r="BV2765" s="32">
        <f t="shared" ref="BV2765:BV2828" ca="1" si="43">INT((TODAY()-$I2765)/365)</f>
        <v>121</v>
      </c>
    </row>
    <row r="2766" spans="74:74" x14ac:dyDescent="0.3">
      <c r="BV2766" s="32">
        <f t="shared" ca="1" si="43"/>
        <v>121</v>
      </c>
    </row>
    <row r="2767" spans="74:74" x14ac:dyDescent="0.3">
      <c r="BV2767" s="32">
        <f t="shared" ca="1" si="43"/>
        <v>121</v>
      </c>
    </row>
    <row r="2768" spans="74:74" x14ac:dyDescent="0.3">
      <c r="BV2768" s="32">
        <f t="shared" ca="1" si="43"/>
        <v>121</v>
      </c>
    </row>
    <row r="2769" spans="74:74" x14ac:dyDescent="0.3">
      <c r="BV2769" s="32">
        <f t="shared" ca="1" si="43"/>
        <v>121</v>
      </c>
    </row>
    <row r="2770" spans="74:74" x14ac:dyDescent="0.3">
      <c r="BV2770" s="32">
        <f t="shared" ca="1" si="43"/>
        <v>121</v>
      </c>
    </row>
    <row r="2771" spans="74:74" x14ac:dyDescent="0.3">
      <c r="BV2771" s="32">
        <f t="shared" ca="1" si="43"/>
        <v>121</v>
      </c>
    </row>
    <row r="2772" spans="74:74" x14ac:dyDescent="0.3">
      <c r="BV2772" s="32">
        <f t="shared" ca="1" si="43"/>
        <v>121</v>
      </c>
    </row>
    <row r="2773" spans="74:74" x14ac:dyDescent="0.3">
      <c r="BV2773" s="32">
        <f t="shared" ca="1" si="43"/>
        <v>121</v>
      </c>
    </row>
    <row r="2774" spans="74:74" x14ac:dyDescent="0.3">
      <c r="BV2774" s="32">
        <f t="shared" ca="1" si="43"/>
        <v>121</v>
      </c>
    </row>
    <row r="2775" spans="74:74" x14ac:dyDescent="0.3">
      <c r="BV2775" s="32">
        <f t="shared" ca="1" si="43"/>
        <v>121</v>
      </c>
    </row>
    <row r="2776" spans="74:74" x14ac:dyDescent="0.3">
      <c r="BV2776" s="32">
        <f t="shared" ca="1" si="43"/>
        <v>121</v>
      </c>
    </row>
    <row r="2777" spans="74:74" x14ac:dyDescent="0.3">
      <c r="BV2777" s="32">
        <f t="shared" ca="1" si="43"/>
        <v>121</v>
      </c>
    </row>
    <row r="2778" spans="74:74" x14ac:dyDescent="0.3">
      <c r="BV2778" s="32">
        <f t="shared" ca="1" si="43"/>
        <v>121</v>
      </c>
    </row>
    <row r="2779" spans="74:74" x14ac:dyDescent="0.3">
      <c r="BV2779" s="32">
        <f t="shared" ca="1" si="43"/>
        <v>121</v>
      </c>
    </row>
    <row r="2780" spans="74:74" x14ac:dyDescent="0.3">
      <c r="BV2780" s="32">
        <f t="shared" ca="1" si="43"/>
        <v>121</v>
      </c>
    </row>
    <row r="2781" spans="74:74" x14ac:dyDescent="0.3">
      <c r="BV2781" s="32">
        <f t="shared" ca="1" si="43"/>
        <v>121</v>
      </c>
    </row>
    <row r="2782" spans="74:74" x14ac:dyDescent="0.3">
      <c r="BV2782" s="32">
        <f t="shared" ca="1" si="43"/>
        <v>121</v>
      </c>
    </row>
    <row r="2783" spans="74:74" x14ac:dyDescent="0.3">
      <c r="BV2783" s="32">
        <f t="shared" ca="1" si="43"/>
        <v>121</v>
      </c>
    </row>
    <row r="2784" spans="74:74" x14ac:dyDescent="0.3">
      <c r="BV2784" s="32">
        <f t="shared" ca="1" si="43"/>
        <v>121</v>
      </c>
    </row>
    <row r="2785" spans="74:74" x14ac:dyDescent="0.3">
      <c r="BV2785" s="32">
        <f t="shared" ca="1" si="43"/>
        <v>121</v>
      </c>
    </row>
    <row r="2786" spans="74:74" x14ac:dyDescent="0.3">
      <c r="BV2786" s="32">
        <f t="shared" ca="1" si="43"/>
        <v>121</v>
      </c>
    </row>
    <row r="2787" spans="74:74" x14ac:dyDescent="0.3">
      <c r="BV2787" s="32">
        <f t="shared" ca="1" si="43"/>
        <v>121</v>
      </c>
    </row>
    <row r="2788" spans="74:74" x14ac:dyDescent="0.3">
      <c r="BV2788" s="32">
        <f t="shared" ca="1" si="43"/>
        <v>121</v>
      </c>
    </row>
    <row r="2789" spans="74:74" x14ac:dyDescent="0.3">
      <c r="BV2789" s="32">
        <f t="shared" ca="1" si="43"/>
        <v>121</v>
      </c>
    </row>
    <row r="2790" spans="74:74" x14ac:dyDescent="0.3">
      <c r="BV2790" s="32">
        <f t="shared" ca="1" si="43"/>
        <v>121</v>
      </c>
    </row>
    <row r="2791" spans="74:74" x14ac:dyDescent="0.3">
      <c r="BV2791" s="32">
        <f t="shared" ca="1" si="43"/>
        <v>121</v>
      </c>
    </row>
    <row r="2792" spans="74:74" x14ac:dyDescent="0.3">
      <c r="BV2792" s="32">
        <f t="shared" ca="1" si="43"/>
        <v>121</v>
      </c>
    </row>
    <row r="2793" spans="74:74" x14ac:dyDescent="0.3">
      <c r="BV2793" s="32">
        <f t="shared" ca="1" si="43"/>
        <v>121</v>
      </c>
    </row>
    <row r="2794" spans="74:74" x14ac:dyDescent="0.3">
      <c r="BV2794" s="32">
        <f t="shared" ca="1" si="43"/>
        <v>121</v>
      </c>
    </row>
    <row r="2795" spans="74:74" x14ac:dyDescent="0.3">
      <c r="BV2795" s="32">
        <f t="shared" ca="1" si="43"/>
        <v>121</v>
      </c>
    </row>
    <row r="2796" spans="74:74" x14ac:dyDescent="0.3">
      <c r="BV2796" s="32">
        <f t="shared" ca="1" si="43"/>
        <v>121</v>
      </c>
    </row>
    <row r="2797" spans="74:74" x14ac:dyDescent="0.3">
      <c r="BV2797" s="32">
        <f t="shared" ca="1" si="43"/>
        <v>121</v>
      </c>
    </row>
    <row r="2798" spans="74:74" x14ac:dyDescent="0.3">
      <c r="BV2798" s="32">
        <f t="shared" ca="1" si="43"/>
        <v>121</v>
      </c>
    </row>
    <row r="2799" spans="74:74" x14ac:dyDescent="0.3">
      <c r="BV2799" s="32">
        <f t="shared" ca="1" si="43"/>
        <v>121</v>
      </c>
    </row>
    <row r="2800" spans="74:74" x14ac:dyDescent="0.3">
      <c r="BV2800" s="32">
        <f t="shared" ca="1" si="43"/>
        <v>121</v>
      </c>
    </row>
    <row r="2801" spans="74:74" x14ac:dyDescent="0.3">
      <c r="BV2801" s="32">
        <f t="shared" ca="1" si="43"/>
        <v>121</v>
      </c>
    </row>
    <row r="2802" spans="74:74" x14ac:dyDescent="0.3">
      <c r="BV2802" s="32">
        <f t="shared" ca="1" si="43"/>
        <v>121</v>
      </c>
    </row>
    <row r="2803" spans="74:74" x14ac:dyDescent="0.3">
      <c r="BV2803" s="32">
        <f t="shared" ca="1" si="43"/>
        <v>121</v>
      </c>
    </row>
    <row r="2804" spans="74:74" x14ac:dyDescent="0.3">
      <c r="BV2804" s="32">
        <f t="shared" ca="1" si="43"/>
        <v>121</v>
      </c>
    </row>
    <row r="2805" spans="74:74" x14ac:dyDescent="0.3">
      <c r="BV2805" s="32">
        <f t="shared" ca="1" si="43"/>
        <v>121</v>
      </c>
    </row>
    <row r="2806" spans="74:74" x14ac:dyDescent="0.3">
      <c r="BV2806" s="32">
        <f t="shared" ca="1" si="43"/>
        <v>121</v>
      </c>
    </row>
    <row r="2807" spans="74:74" x14ac:dyDescent="0.3">
      <c r="BV2807" s="32">
        <f t="shared" ca="1" si="43"/>
        <v>121</v>
      </c>
    </row>
    <row r="2808" spans="74:74" x14ac:dyDescent="0.3">
      <c r="BV2808" s="32">
        <f t="shared" ca="1" si="43"/>
        <v>121</v>
      </c>
    </row>
    <row r="2809" spans="74:74" x14ac:dyDescent="0.3">
      <c r="BV2809" s="32">
        <f t="shared" ca="1" si="43"/>
        <v>121</v>
      </c>
    </row>
    <row r="2810" spans="74:74" x14ac:dyDescent="0.3">
      <c r="BV2810" s="32">
        <f t="shared" ca="1" si="43"/>
        <v>121</v>
      </c>
    </row>
    <row r="2811" spans="74:74" x14ac:dyDescent="0.3">
      <c r="BV2811" s="32">
        <f t="shared" ca="1" si="43"/>
        <v>121</v>
      </c>
    </row>
    <row r="2812" spans="74:74" x14ac:dyDescent="0.3">
      <c r="BV2812" s="32">
        <f t="shared" ca="1" si="43"/>
        <v>121</v>
      </c>
    </row>
    <row r="2813" spans="74:74" x14ac:dyDescent="0.3">
      <c r="BV2813" s="32">
        <f t="shared" ca="1" si="43"/>
        <v>121</v>
      </c>
    </row>
    <row r="2814" spans="74:74" x14ac:dyDescent="0.3">
      <c r="BV2814" s="32">
        <f t="shared" ca="1" si="43"/>
        <v>121</v>
      </c>
    </row>
    <row r="2815" spans="74:74" x14ac:dyDescent="0.3">
      <c r="BV2815" s="32">
        <f t="shared" ca="1" si="43"/>
        <v>121</v>
      </c>
    </row>
    <row r="2816" spans="74:74" x14ac:dyDescent="0.3">
      <c r="BV2816" s="32">
        <f t="shared" ca="1" si="43"/>
        <v>121</v>
      </c>
    </row>
    <row r="2817" spans="74:74" x14ac:dyDescent="0.3">
      <c r="BV2817" s="32">
        <f t="shared" ca="1" si="43"/>
        <v>121</v>
      </c>
    </row>
    <row r="2818" spans="74:74" x14ac:dyDescent="0.3">
      <c r="BV2818" s="32">
        <f t="shared" ca="1" si="43"/>
        <v>121</v>
      </c>
    </row>
    <row r="2819" spans="74:74" x14ac:dyDescent="0.3">
      <c r="BV2819" s="32">
        <f t="shared" ca="1" si="43"/>
        <v>121</v>
      </c>
    </row>
    <row r="2820" spans="74:74" x14ac:dyDescent="0.3">
      <c r="BV2820" s="32">
        <f t="shared" ca="1" si="43"/>
        <v>121</v>
      </c>
    </row>
    <row r="2821" spans="74:74" x14ac:dyDescent="0.3">
      <c r="BV2821" s="32">
        <f t="shared" ca="1" si="43"/>
        <v>121</v>
      </c>
    </row>
    <row r="2822" spans="74:74" x14ac:dyDescent="0.3">
      <c r="BV2822" s="32">
        <f t="shared" ca="1" si="43"/>
        <v>121</v>
      </c>
    </row>
    <row r="2823" spans="74:74" x14ac:dyDescent="0.3">
      <c r="BV2823" s="32">
        <f t="shared" ca="1" si="43"/>
        <v>121</v>
      </c>
    </row>
    <row r="2824" spans="74:74" x14ac:dyDescent="0.3">
      <c r="BV2824" s="32">
        <f t="shared" ca="1" si="43"/>
        <v>121</v>
      </c>
    </row>
    <row r="2825" spans="74:74" x14ac:dyDescent="0.3">
      <c r="BV2825" s="32">
        <f t="shared" ca="1" si="43"/>
        <v>121</v>
      </c>
    </row>
    <row r="2826" spans="74:74" x14ac:dyDescent="0.3">
      <c r="BV2826" s="32">
        <f t="shared" ca="1" si="43"/>
        <v>121</v>
      </c>
    </row>
    <row r="2827" spans="74:74" x14ac:dyDescent="0.3">
      <c r="BV2827" s="32">
        <f t="shared" ca="1" si="43"/>
        <v>121</v>
      </c>
    </row>
    <row r="2828" spans="74:74" x14ac:dyDescent="0.3">
      <c r="BV2828" s="32">
        <f t="shared" ca="1" si="43"/>
        <v>121</v>
      </c>
    </row>
    <row r="2829" spans="74:74" x14ac:dyDescent="0.3">
      <c r="BV2829" s="32">
        <f t="shared" ref="BV2829:BV2892" ca="1" si="44">INT((TODAY()-$I2829)/365)</f>
        <v>121</v>
      </c>
    </row>
    <row r="2830" spans="74:74" x14ac:dyDescent="0.3">
      <c r="BV2830" s="32">
        <f t="shared" ca="1" si="44"/>
        <v>121</v>
      </c>
    </row>
    <row r="2831" spans="74:74" x14ac:dyDescent="0.3">
      <c r="BV2831" s="32">
        <f t="shared" ca="1" si="44"/>
        <v>121</v>
      </c>
    </row>
    <row r="2832" spans="74:74" x14ac:dyDescent="0.3">
      <c r="BV2832" s="32">
        <f t="shared" ca="1" si="44"/>
        <v>121</v>
      </c>
    </row>
    <row r="2833" spans="74:74" x14ac:dyDescent="0.3">
      <c r="BV2833" s="32">
        <f t="shared" ca="1" si="44"/>
        <v>121</v>
      </c>
    </row>
    <row r="2834" spans="74:74" x14ac:dyDescent="0.3">
      <c r="BV2834" s="32">
        <f t="shared" ca="1" si="44"/>
        <v>121</v>
      </c>
    </row>
    <row r="2835" spans="74:74" x14ac:dyDescent="0.3">
      <c r="BV2835" s="32">
        <f t="shared" ca="1" si="44"/>
        <v>121</v>
      </c>
    </row>
    <row r="2836" spans="74:74" x14ac:dyDescent="0.3">
      <c r="BV2836" s="32">
        <f t="shared" ca="1" si="44"/>
        <v>121</v>
      </c>
    </row>
    <row r="2837" spans="74:74" x14ac:dyDescent="0.3">
      <c r="BV2837" s="32">
        <f t="shared" ca="1" si="44"/>
        <v>121</v>
      </c>
    </row>
    <row r="2838" spans="74:74" x14ac:dyDescent="0.3">
      <c r="BV2838" s="32">
        <f t="shared" ca="1" si="44"/>
        <v>121</v>
      </c>
    </row>
    <row r="2839" spans="74:74" x14ac:dyDescent="0.3">
      <c r="BV2839" s="32">
        <f t="shared" ca="1" si="44"/>
        <v>121</v>
      </c>
    </row>
    <row r="2840" spans="74:74" x14ac:dyDescent="0.3">
      <c r="BV2840" s="32">
        <f t="shared" ca="1" si="44"/>
        <v>121</v>
      </c>
    </row>
    <row r="2841" spans="74:74" x14ac:dyDescent="0.3">
      <c r="BV2841" s="32">
        <f t="shared" ca="1" si="44"/>
        <v>121</v>
      </c>
    </row>
    <row r="2842" spans="74:74" x14ac:dyDescent="0.3">
      <c r="BV2842" s="32">
        <f t="shared" ca="1" si="44"/>
        <v>121</v>
      </c>
    </row>
    <row r="2843" spans="74:74" x14ac:dyDescent="0.3">
      <c r="BV2843" s="32">
        <f t="shared" ca="1" si="44"/>
        <v>121</v>
      </c>
    </row>
    <row r="2844" spans="74:74" x14ac:dyDescent="0.3">
      <c r="BV2844" s="32">
        <f t="shared" ca="1" si="44"/>
        <v>121</v>
      </c>
    </row>
    <row r="2845" spans="74:74" x14ac:dyDescent="0.3">
      <c r="BV2845" s="32">
        <f t="shared" ca="1" si="44"/>
        <v>121</v>
      </c>
    </row>
    <row r="2846" spans="74:74" x14ac:dyDescent="0.3">
      <c r="BV2846" s="32">
        <f t="shared" ca="1" si="44"/>
        <v>121</v>
      </c>
    </row>
    <row r="2847" spans="74:74" x14ac:dyDescent="0.3">
      <c r="BV2847" s="32">
        <f t="shared" ca="1" si="44"/>
        <v>121</v>
      </c>
    </row>
    <row r="2848" spans="74:74" x14ac:dyDescent="0.3">
      <c r="BV2848" s="32">
        <f t="shared" ca="1" si="44"/>
        <v>121</v>
      </c>
    </row>
    <row r="2849" spans="74:74" x14ac:dyDescent="0.3">
      <c r="BV2849" s="32">
        <f t="shared" ca="1" si="44"/>
        <v>121</v>
      </c>
    </row>
    <row r="2850" spans="74:74" x14ac:dyDescent="0.3">
      <c r="BV2850" s="32">
        <f t="shared" ca="1" si="44"/>
        <v>121</v>
      </c>
    </row>
    <row r="2851" spans="74:74" x14ac:dyDescent="0.3">
      <c r="BV2851" s="32">
        <f t="shared" ca="1" si="44"/>
        <v>121</v>
      </c>
    </row>
    <row r="2852" spans="74:74" x14ac:dyDescent="0.3">
      <c r="BV2852" s="32">
        <f t="shared" ca="1" si="44"/>
        <v>121</v>
      </c>
    </row>
    <row r="2853" spans="74:74" x14ac:dyDescent="0.3">
      <c r="BV2853" s="32">
        <f t="shared" ca="1" si="44"/>
        <v>121</v>
      </c>
    </row>
    <row r="2854" spans="74:74" x14ac:dyDescent="0.3">
      <c r="BV2854" s="32">
        <f t="shared" ca="1" si="44"/>
        <v>121</v>
      </c>
    </row>
    <row r="2855" spans="74:74" x14ac:dyDescent="0.3">
      <c r="BV2855" s="32">
        <f t="shared" ca="1" si="44"/>
        <v>121</v>
      </c>
    </row>
    <row r="2856" spans="74:74" x14ac:dyDescent="0.3">
      <c r="BV2856" s="32">
        <f t="shared" ca="1" si="44"/>
        <v>121</v>
      </c>
    </row>
    <row r="2857" spans="74:74" x14ac:dyDescent="0.3">
      <c r="BV2857" s="32">
        <f t="shared" ca="1" si="44"/>
        <v>121</v>
      </c>
    </row>
    <row r="2858" spans="74:74" x14ac:dyDescent="0.3">
      <c r="BV2858" s="32">
        <f t="shared" ca="1" si="44"/>
        <v>121</v>
      </c>
    </row>
    <row r="2859" spans="74:74" x14ac:dyDescent="0.3">
      <c r="BV2859" s="32">
        <f t="shared" ca="1" si="44"/>
        <v>121</v>
      </c>
    </row>
    <row r="2860" spans="74:74" x14ac:dyDescent="0.3">
      <c r="BV2860" s="32">
        <f t="shared" ca="1" si="44"/>
        <v>121</v>
      </c>
    </row>
    <row r="2861" spans="74:74" x14ac:dyDescent="0.3">
      <c r="BV2861" s="32">
        <f t="shared" ca="1" si="44"/>
        <v>121</v>
      </c>
    </row>
    <row r="2862" spans="74:74" x14ac:dyDescent="0.3">
      <c r="BV2862" s="32">
        <f t="shared" ca="1" si="44"/>
        <v>121</v>
      </c>
    </row>
    <row r="2863" spans="74:74" x14ac:dyDescent="0.3">
      <c r="BV2863" s="32">
        <f t="shared" ca="1" si="44"/>
        <v>121</v>
      </c>
    </row>
    <row r="2864" spans="74:74" x14ac:dyDescent="0.3">
      <c r="BV2864" s="32">
        <f t="shared" ca="1" si="44"/>
        <v>121</v>
      </c>
    </row>
    <row r="2865" spans="74:74" x14ac:dyDescent="0.3">
      <c r="BV2865" s="32">
        <f t="shared" ca="1" si="44"/>
        <v>121</v>
      </c>
    </row>
    <row r="2866" spans="74:74" x14ac:dyDescent="0.3">
      <c r="BV2866" s="32">
        <f t="shared" ca="1" si="44"/>
        <v>121</v>
      </c>
    </row>
    <row r="2867" spans="74:74" x14ac:dyDescent="0.3">
      <c r="BV2867" s="32">
        <f t="shared" ca="1" si="44"/>
        <v>121</v>
      </c>
    </row>
    <row r="2868" spans="74:74" x14ac:dyDescent="0.3">
      <c r="BV2868" s="32">
        <f t="shared" ca="1" si="44"/>
        <v>121</v>
      </c>
    </row>
    <row r="2869" spans="74:74" x14ac:dyDescent="0.3">
      <c r="BV2869" s="32">
        <f t="shared" ca="1" si="44"/>
        <v>121</v>
      </c>
    </row>
    <row r="2870" spans="74:74" x14ac:dyDescent="0.3">
      <c r="BV2870" s="32">
        <f t="shared" ca="1" si="44"/>
        <v>121</v>
      </c>
    </row>
    <row r="2871" spans="74:74" x14ac:dyDescent="0.3">
      <c r="BV2871" s="32">
        <f t="shared" ca="1" si="44"/>
        <v>121</v>
      </c>
    </row>
    <row r="2872" spans="74:74" x14ac:dyDescent="0.3">
      <c r="BV2872" s="32">
        <f t="shared" ca="1" si="44"/>
        <v>121</v>
      </c>
    </row>
    <row r="2873" spans="74:74" x14ac:dyDescent="0.3">
      <c r="BV2873" s="32">
        <f t="shared" ca="1" si="44"/>
        <v>121</v>
      </c>
    </row>
    <row r="2874" spans="74:74" x14ac:dyDescent="0.3">
      <c r="BV2874" s="32">
        <f t="shared" ca="1" si="44"/>
        <v>121</v>
      </c>
    </row>
    <row r="2875" spans="74:74" x14ac:dyDescent="0.3">
      <c r="BV2875" s="32">
        <f t="shared" ca="1" si="44"/>
        <v>121</v>
      </c>
    </row>
    <row r="2876" spans="74:74" x14ac:dyDescent="0.3">
      <c r="BV2876" s="32">
        <f t="shared" ca="1" si="44"/>
        <v>121</v>
      </c>
    </row>
    <row r="2877" spans="74:74" x14ac:dyDescent="0.3">
      <c r="BV2877" s="32">
        <f t="shared" ca="1" si="44"/>
        <v>121</v>
      </c>
    </row>
    <row r="2878" spans="74:74" x14ac:dyDescent="0.3">
      <c r="BV2878" s="32">
        <f t="shared" ca="1" si="44"/>
        <v>121</v>
      </c>
    </row>
    <row r="2879" spans="74:74" x14ac:dyDescent="0.3">
      <c r="BV2879" s="32">
        <f t="shared" ca="1" si="44"/>
        <v>121</v>
      </c>
    </row>
    <row r="2880" spans="74:74" x14ac:dyDescent="0.3">
      <c r="BV2880" s="32">
        <f t="shared" ca="1" si="44"/>
        <v>121</v>
      </c>
    </row>
    <row r="2881" spans="74:74" x14ac:dyDescent="0.3">
      <c r="BV2881" s="32">
        <f t="shared" ca="1" si="44"/>
        <v>121</v>
      </c>
    </row>
    <row r="2882" spans="74:74" x14ac:dyDescent="0.3">
      <c r="BV2882" s="32">
        <f t="shared" ca="1" si="44"/>
        <v>121</v>
      </c>
    </row>
    <row r="2883" spans="74:74" x14ac:dyDescent="0.3">
      <c r="BV2883" s="32">
        <f t="shared" ca="1" si="44"/>
        <v>121</v>
      </c>
    </row>
    <row r="2884" spans="74:74" x14ac:dyDescent="0.3">
      <c r="BV2884" s="32">
        <f t="shared" ca="1" si="44"/>
        <v>121</v>
      </c>
    </row>
    <row r="2885" spans="74:74" x14ac:dyDescent="0.3">
      <c r="BV2885" s="32">
        <f t="shared" ca="1" si="44"/>
        <v>121</v>
      </c>
    </row>
    <row r="2886" spans="74:74" x14ac:dyDescent="0.3">
      <c r="BV2886" s="32">
        <f t="shared" ca="1" si="44"/>
        <v>121</v>
      </c>
    </row>
    <row r="2887" spans="74:74" x14ac:dyDescent="0.3">
      <c r="BV2887" s="32">
        <f t="shared" ca="1" si="44"/>
        <v>121</v>
      </c>
    </row>
    <row r="2888" spans="74:74" x14ac:dyDescent="0.3">
      <c r="BV2888" s="32">
        <f t="shared" ca="1" si="44"/>
        <v>121</v>
      </c>
    </row>
    <row r="2889" spans="74:74" x14ac:dyDescent="0.3">
      <c r="BV2889" s="32">
        <f t="shared" ca="1" si="44"/>
        <v>121</v>
      </c>
    </row>
    <row r="2890" spans="74:74" x14ac:dyDescent="0.3">
      <c r="BV2890" s="32">
        <f t="shared" ca="1" si="44"/>
        <v>121</v>
      </c>
    </row>
    <row r="2891" spans="74:74" x14ac:dyDescent="0.3">
      <c r="BV2891" s="32">
        <f t="shared" ca="1" si="44"/>
        <v>121</v>
      </c>
    </row>
    <row r="2892" spans="74:74" x14ac:dyDescent="0.3">
      <c r="BV2892" s="32">
        <f t="shared" ca="1" si="44"/>
        <v>121</v>
      </c>
    </row>
    <row r="2893" spans="74:74" x14ac:dyDescent="0.3">
      <c r="BV2893" s="32">
        <f t="shared" ref="BV2893:BV2956" ca="1" si="45">INT((TODAY()-$I2893)/365)</f>
        <v>121</v>
      </c>
    </row>
    <row r="2894" spans="74:74" x14ac:dyDescent="0.3">
      <c r="BV2894" s="32">
        <f t="shared" ca="1" si="45"/>
        <v>121</v>
      </c>
    </row>
    <row r="2895" spans="74:74" x14ac:dyDescent="0.3">
      <c r="BV2895" s="32">
        <f t="shared" ca="1" si="45"/>
        <v>121</v>
      </c>
    </row>
    <row r="2896" spans="74:74" x14ac:dyDescent="0.3">
      <c r="BV2896" s="32">
        <f t="shared" ca="1" si="45"/>
        <v>121</v>
      </c>
    </row>
    <row r="2897" spans="74:74" x14ac:dyDescent="0.3">
      <c r="BV2897" s="32">
        <f t="shared" ca="1" si="45"/>
        <v>121</v>
      </c>
    </row>
    <row r="2898" spans="74:74" x14ac:dyDescent="0.3">
      <c r="BV2898" s="32">
        <f t="shared" ca="1" si="45"/>
        <v>121</v>
      </c>
    </row>
    <row r="2899" spans="74:74" x14ac:dyDescent="0.3">
      <c r="BV2899" s="32">
        <f t="shared" ca="1" si="45"/>
        <v>121</v>
      </c>
    </row>
    <row r="2900" spans="74:74" x14ac:dyDescent="0.3">
      <c r="BV2900" s="32">
        <f t="shared" ca="1" si="45"/>
        <v>121</v>
      </c>
    </row>
    <row r="2901" spans="74:74" x14ac:dyDescent="0.3">
      <c r="BV2901" s="32">
        <f t="shared" ca="1" si="45"/>
        <v>121</v>
      </c>
    </row>
    <row r="2902" spans="74:74" x14ac:dyDescent="0.3">
      <c r="BV2902" s="32">
        <f t="shared" ca="1" si="45"/>
        <v>121</v>
      </c>
    </row>
    <row r="2903" spans="74:74" x14ac:dyDescent="0.3">
      <c r="BV2903" s="32">
        <f t="shared" ca="1" si="45"/>
        <v>121</v>
      </c>
    </row>
    <row r="2904" spans="74:74" x14ac:dyDescent="0.3">
      <c r="BV2904" s="32">
        <f t="shared" ca="1" si="45"/>
        <v>121</v>
      </c>
    </row>
    <row r="2905" spans="74:74" x14ac:dyDescent="0.3">
      <c r="BV2905" s="32">
        <f t="shared" ca="1" si="45"/>
        <v>121</v>
      </c>
    </row>
    <row r="2906" spans="74:74" x14ac:dyDescent="0.3">
      <c r="BV2906" s="32">
        <f t="shared" ca="1" si="45"/>
        <v>121</v>
      </c>
    </row>
    <row r="2907" spans="74:74" x14ac:dyDescent="0.3">
      <c r="BV2907" s="32">
        <f t="shared" ca="1" si="45"/>
        <v>121</v>
      </c>
    </row>
    <row r="2908" spans="74:74" x14ac:dyDescent="0.3">
      <c r="BV2908" s="32">
        <f t="shared" ca="1" si="45"/>
        <v>121</v>
      </c>
    </row>
    <row r="2909" spans="74:74" x14ac:dyDescent="0.3">
      <c r="BV2909" s="32">
        <f t="shared" ca="1" si="45"/>
        <v>121</v>
      </c>
    </row>
    <row r="2910" spans="74:74" x14ac:dyDescent="0.3">
      <c r="BV2910" s="32">
        <f t="shared" ca="1" si="45"/>
        <v>121</v>
      </c>
    </row>
    <row r="2911" spans="74:74" x14ac:dyDescent="0.3">
      <c r="BV2911" s="32">
        <f t="shared" ca="1" si="45"/>
        <v>121</v>
      </c>
    </row>
    <row r="2912" spans="74:74" x14ac:dyDescent="0.3">
      <c r="BV2912" s="32">
        <f t="shared" ca="1" si="45"/>
        <v>121</v>
      </c>
    </row>
    <row r="2913" spans="74:74" x14ac:dyDescent="0.3">
      <c r="BV2913" s="32">
        <f t="shared" ca="1" si="45"/>
        <v>121</v>
      </c>
    </row>
    <row r="2914" spans="74:74" x14ac:dyDescent="0.3">
      <c r="BV2914" s="32">
        <f t="shared" ca="1" si="45"/>
        <v>121</v>
      </c>
    </row>
    <row r="2915" spans="74:74" x14ac:dyDescent="0.3">
      <c r="BV2915" s="32">
        <f t="shared" ca="1" si="45"/>
        <v>121</v>
      </c>
    </row>
    <row r="2916" spans="74:74" x14ac:dyDescent="0.3">
      <c r="BV2916" s="32">
        <f t="shared" ca="1" si="45"/>
        <v>121</v>
      </c>
    </row>
    <row r="2917" spans="74:74" x14ac:dyDescent="0.3">
      <c r="BV2917" s="32">
        <f t="shared" ca="1" si="45"/>
        <v>121</v>
      </c>
    </row>
    <row r="2918" spans="74:74" x14ac:dyDescent="0.3">
      <c r="BV2918" s="32">
        <f t="shared" ca="1" si="45"/>
        <v>121</v>
      </c>
    </row>
    <row r="2919" spans="74:74" x14ac:dyDescent="0.3">
      <c r="BV2919" s="32">
        <f t="shared" ca="1" si="45"/>
        <v>121</v>
      </c>
    </row>
    <row r="2920" spans="74:74" x14ac:dyDescent="0.3">
      <c r="BV2920" s="32">
        <f t="shared" ca="1" si="45"/>
        <v>121</v>
      </c>
    </row>
    <row r="2921" spans="74:74" x14ac:dyDescent="0.3">
      <c r="BV2921" s="32">
        <f t="shared" ca="1" si="45"/>
        <v>121</v>
      </c>
    </row>
    <row r="2922" spans="74:74" x14ac:dyDescent="0.3">
      <c r="BV2922" s="32">
        <f t="shared" ca="1" si="45"/>
        <v>121</v>
      </c>
    </row>
    <row r="2923" spans="74:74" x14ac:dyDescent="0.3">
      <c r="BV2923" s="32">
        <f t="shared" ca="1" si="45"/>
        <v>121</v>
      </c>
    </row>
    <row r="2924" spans="74:74" x14ac:dyDescent="0.3">
      <c r="BV2924" s="32">
        <f t="shared" ca="1" si="45"/>
        <v>121</v>
      </c>
    </row>
    <row r="2925" spans="74:74" x14ac:dyDescent="0.3">
      <c r="BV2925" s="32">
        <f t="shared" ca="1" si="45"/>
        <v>121</v>
      </c>
    </row>
    <row r="2926" spans="74:74" x14ac:dyDescent="0.3">
      <c r="BV2926" s="32">
        <f t="shared" ca="1" si="45"/>
        <v>121</v>
      </c>
    </row>
    <row r="2927" spans="74:74" x14ac:dyDescent="0.3">
      <c r="BV2927" s="32">
        <f t="shared" ca="1" si="45"/>
        <v>121</v>
      </c>
    </row>
    <row r="2928" spans="74:74" x14ac:dyDescent="0.3">
      <c r="BV2928" s="32">
        <f t="shared" ca="1" si="45"/>
        <v>121</v>
      </c>
    </row>
    <row r="2929" spans="74:74" x14ac:dyDescent="0.3">
      <c r="BV2929" s="32">
        <f t="shared" ca="1" si="45"/>
        <v>121</v>
      </c>
    </row>
    <row r="2930" spans="74:74" x14ac:dyDescent="0.3">
      <c r="BV2930" s="32">
        <f t="shared" ca="1" si="45"/>
        <v>121</v>
      </c>
    </row>
    <row r="2931" spans="74:74" x14ac:dyDescent="0.3">
      <c r="BV2931" s="32">
        <f t="shared" ca="1" si="45"/>
        <v>121</v>
      </c>
    </row>
    <row r="2932" spans="74:74" x14ac:dyDescent="0.3">
      <c r="BV2932" s="32">
        <f t="shared" ca="1" si="45"/>
        <v>121</v>
      </c>
    </row>
    <row r="2933" spans="74:74" x14ac:dyDescent="0.3">
      <c r="BV2933" s="32">
        <f t="shared" ca="1" si="45"/>
        <v>121</v>
      </c>
    </row>
    <row r="2934" spans="74:74" x14ac:dyDescent="0.3">
      <c r="BV2934" s="32">
        <f t="shared" ca="1" si="45"/>
        <v>121</v>
      </c>
    </row>
    <row r="2935" spans="74:74" x14ac:dyDescent="0.3">
      <c r="BV2935" s="32">
        <f t="shared" ca="1" si="45"/>
        <v>121</v>
      </c>
    </row>
    <row r="2936" spans="74:74" x14ac:dyDescent="0.3">
      <c r="BV2936" s="32">
        <f t="shared" ca="1" si="45"/>
        <v>121</v>
      </c>
    </row>
    <row r="2937" spans="74:74" x14ac:dyDescent="0.3">
      <c r="BV2937" s="32">
        <f t="shared" ca="1" si="45"/>
        <v>121</v>
      </c>
    </row>
    <row r="2938" spans="74:74" x14ac:dyDescent="0.3">
      <c r="BV2938" s="32">
        <f t="shared" ca="1" si="45"/>
        <v>121</v>
      </c>
    </row>
    <row r="2939" spans="74:74" x14ac:dyDescent="0.3">
      <c r="BV2939" s="32">
        <f t="shared" ca="1" si="45"/>
        <v>121</v>
      </c>
    </row>
    <row r="2940" spans="74:74" x14ac:dyDescent="0.3">
      <c r="BV2940" s="32">
        <f t="shared" ca="1" si="45"/>
        <v>121</v>
      </c>
    </row>
    <row r="2941" spans="74:74" x14ac:dyDescent="0.3">
      <c r="BV2941" s="32">
        <f t="shared" ca="1" si="45"/>
        <v>121</v>
      </c>
    </row>
    <row r="2942" spans="74:74" x14ac:dyDescent="0.3">
      <c r="BV2942" s="32">
        <f t="shared" ca="1" si="45"/>
        <v>121</v>
      </c>
    </row>
    <row r="2943" spans="74:74" x14ac:dyDescent="0.3">
      <c r="BV2943" s="32">
        <f t="shared" ca="1" si="45"/>
        <v>121</v>
      </c>
    </row>
    <row r="2944" spans="74:74" x14ac:dyDescent="0.3">
      <c r="BV2944" s="32">
        <f t="shared" ca="1" si="45"/>
        <v>121</v>
      </c>
    </row>
    <row r="2945" spans="74:74" x14ac:dyDescent="0.3">
      <c r="BV2945" s="32">
        <f t="shared" ca="1" si="45"/>
        <v>121</v>
      </c>
    </row>
    <row r="2946" spans="74:74" x14ac:dyDescent="0.3">
      <c r="BV2946" s="32">
        <f t="shared" ca="1" si="45"/>
        <v>121</v>
      </c>
    </row>
    <row r="2947" spans="74:74" x14ac:dyDescent="0.3">
      <c r="BV2947" s="32">
        <f t="shared" ca="1" si="45"/>
        <v>121</v>
      </c>
    </row>
    <row r="2948" spans="74:74" x14ac:dyDescent="0.3">
      <c r="BV2948" s="32">
        <f t="shared" ca="1" si="45"/>
        <v>121</v>
      </c>
    </row>
    <row r="2949" spans="74:74" x14ac:dyDescent="0.3">
      <c r="BV2949" s="32">
        <f t="shared" ca="1" si="45"/>
        <v>121</v>
      </c>
    </row>
    <row r="2950" spans="74:74" x14ac:dyDescent="0.3">
      <c r="BV2950" s="32">
        <f t="shared" ca="1" si="45"/>
        <v>121</v>
      </c>
    </row>
    <row r="2951" spans="74:74" x14ac:dyDescent="0.3">
      <c r="BV2951" s="32">
        <f t="shared" ca="1" si="45"/>
        <v>121</v>
      </c>
    </row>
    <row r="2952" spans="74:74" x14ac:dyDescent="0.3">
      <c r="BV2952" s="32">
        <f t="shared" ca="1" si="45"/>
        <v>121</v>
      </c>
    </row>
    <row r="2953" spans="74:74" x14ac:dyDescent="0.3">
      <c r="BV2953" s="32">
        <f t="shared" ca="1" si="45"/>
        <v>121</v>
      </c>
    </row>
    <row r="2954" spans="74:74" x14ac:dyDescent="0.3">
      <c r="BV2954" s="32">
        <f t="shared" ca="1" si="45"/>
        <v>121</v>
      </c>
    </row>
    <row r="2955" spans="74:74" x14ac:dyDescent="0.3">
      <c r="BV2955" s="32">
        <f t="shared" ca="1" si="45"/>
        <v>121</v>
      </c>
    </row>
    <row r="2956" spans="74:74" x14ac:dyDescent="0.3">
      <c r="BV2956" s="32">
        <f t="shared" ca="1" si="45"/>
        <v>121</v>
      </c>
    </row>
    <row r="2957" spans="74:74" x14ac:dyDescent="0.3">
      <c r="BV2957" s="32">
        <f t="shared" ref="BV2957:BV3020" ca="1" si="46">INT((TODAY()-$I2957)/365)</f>
        <v>121</v>
      </c>
    </row>
    <row r="2958" spans="74:74" x14ac:dyDescent="0.3">
      <c r="BV2958" s="32">
        <f t="shared" ca="1" si="46"/>
        <v>121</v>
      </c>
    </row>
    <row r="2959" spans="74:74" x14ac:dyDescent="0.3">
      <c r="BV2959" s="32">
        <f t="shared" ca="1" si="46"/>
        <v>121</v>
      </c>
    </row>
    <row r="2960" spans="74:74" x14ac:dyDescent="0.3">
      <c r="BV2960" s="32">
        <f t="shared" ca="1" si="46"/>
        <v>121</v>
      </c>
    </row>
    <row r="2961" spans="74:74" x14ac:dyDescent="0.3">
      <c r="BV2961" s="32">
        <f t="shared" ca="1" si="46"/>
        <v>121</v>
      </c>
    </row>
    <row r="2962" spans="74:74" x14ac:dyDescent="0.3">
      <c r="BV2962" s="32">
        <f t="shared" ca="1" si="46"/>
        <v>121</v>
      </c>
    </row>
    <row r="2963" spans="74:74" x14ac:dyDescent="0.3">
      <c r="BV2963" s="32">
        <f t="shared" ca="1" si="46"/>
        <v>121</v>
      </c>
    </row>
    <row r="2964" spans="74:74" x14ac:dyDescent="0.3">
      <c r="BV2964" s="32">
        <f t="shared" ca="1" si="46"/>
        <v>121</v>
      </c>
    </row>
    <row r="2965" spans="74:74" x14ac:dyDescent="0.3">
      <c r="BV2965" s="32">
        <f t="shared" ca="1" si="46"/>
        <v>121</v>
      </c>
    </row>
    <row r="2966" spans="74:74" x14ac:dyDescent="0.3">
      <c r="BV2966" s="32">
        <f t="shared" ca="1" si="46"/>
        <v>121</v>
      </c>
    </row>
    <row r="2967" spans="74:74" x14ac:dyDescent="0.3">
      <c r="BV2967" s="32">
        <f t="shared" ca="1" si="46"/>
        <v>121</v>
      </c>
    </row>
    <row r="2968" spans="74:74" x14ac:dyDescent="0.3">
      <c r="BV2968" s="32">
        <f t="shared" ca="1" si="46"/>
        <v>121</v>
      </c>
    </row>
    <row r="2969" spans="74:74" x14ac:dyDescent="0.3">
      <c r="BV2969" s="32">
        <f t="shared" ca="1" si="46"/>
        <v>121</v>
      </c>
    </row>
    <row r="2970" spans="74:74" x14ac:dyDescent="0.3">
      <c r="BV2970" s="32">
        <f t="shared" ca="1" si="46"/>
        <v>121</v>
      </c>
    </row>
    <row r="2971" spans="74:74" x14ac:dyDescent="0.3">
      <c r="BV2971" s="32">
        <f t="shared" ca="1" si="46"/>
        <v>121</v>
      </c>
    </row>
    <row r="2972" spans="74:74" x14ac:dyDescent="0.3">
      <c r="BV2972" s="32">
        <f t="shared" ca="1" si="46"/>
        <v>121</v>
      </c>
    </row>
    <row r="2973" spans="74:74" x14ac:dyDescent="0.3">
      <c r="BV2973" s="32">
        <f t="shared" ca="1" si="46"/>
        <v>121</v>
      </c>
    </row>
    <row r="2974" spans="74:74" x14ac:dyDescent="0.3">
      <c r="BV2974" s="32">
        <f t="shared" ca="1" si="46"/>
        <v>121</v>
      </c>
    </row>
    <row r="2975" spans="74:74" x14ac:dyDescent="0.3">
      <c r="BV2975" s="32">
        <f t="shared" ca="1" si="46"/>
        <v>121</v>
      </c>
    </row>
    <row r="2976" spans="74:74" x14ac:dyDescent="0.3">
      <c r="BV2976" s="32">
        <f t="shared" ca="1" si="46"/>
        <v>121</v>
      </c>
    </row>
    <row r="2977" spans="74:74" x14ac:dyDescent="0.3">
      <c r="BV2977" s="32">
        <f t="shared" ca="1" si="46"/>
        <v>121</v>
      </c>
    </row>
    <row r="2978" spans="74:74" x14ac:dyDescent="0.3">
      <c r="BV2978" s="32">
        <f t="shared" ca="1" si="46"/>
        <v>121</v>
      </c>
    </row>
    <row r="2979" spans="74:74" x14ac:dyDescent="0.3">
      <c r="BV2979" s="32">
        <f t="shared" ca="1" si="46"/>
        <v>121</v>
      </c>
    </row>
    <row r="2980" spans="74:74" x14ac:dyDescent="0.3">
      <c r="BV2980" s="32">
        <f t="shared" ca="1" si="46"/>
        <v>121</v>
      </c>
    </row>
    <row r="2981" spans="74:74" x14ac:dyDescent="0.3">
      <c r="BV2981" s="32">
        <f t="shared" ca="1" si="46"/>
        <v>121</v>
      </c>
    </row>
    <row r="2982" spans="74:74" x14ac:dyDescent="0.3">
      <c r="BV2982" s="32">
        <f t="shared" ca="1" si="46"/>
        <v>121</v>
      </c>
    </row>
    <row r="2983" spans="74:74" x14ac:dyDescent="0.3">
      <c r="BV2983" s="32">
        <f t="shared" ca="1" si="46"/>
        <v>121</v>
      </c>
    </row>
    <row r="2984" spans="74:74" x14ac:dyDescent="0.3">
      <c r="BV2984" s="32">
        <f t="shared" ca="1" si="46"/>
        <v>121</v>
      </c>
    </row>
    <row r="2985" spans="74:74" x14ac:dyDescent="0.3">
      <c r="BV2985" s="32">
        <f t="shared" ca="1" si="46"/>
        <v>121</v>
      </c>
    </row>
    <row r="2986" spans="74:74" x14ac:dyDescent="0.3">
      <c r="BV2986" s="32">
        <f t="shared" ca="1" si="46"/>
        <v>121</v>
      </c>
    </row>
    <row r="2987" spans="74:74" x14ac:dyDescent="0.3">
      <c r="BV2987" s="32">
        <f t="shared" ca="1" si="46"/>
        <v>121</v>
      </c>
    </row>
    <row r="2988" spans="74:74" x14ac:dyDescent="0.3">
      <c r="BV2988" s="32">
        <f t="shared" ca="1" si="46"/>
        <v>121</v>
      </c>
    </row>
    <row r="2989" spans="74:74" x14ac:dyDescent="0.3">
      <c r="BV2989" s="32">
        <f t="shared" ca="1" si="46"/>
        <v>121</v>
      </c>
    </row>
    <row r="2990" spans="74:74" x14ac:dyDescent="0.3">
      <c r="BV2990" s="32">
        <f t="shared" ca="1" si="46"/>
        <v>121</v>
      </c>
    </row>
    <row r="2991" spans="74:74" x14ac:dyDescent="0.3">
      <c r="BV2991" s="32">
        <f t="shared" ca="1" si="46"/>
        <v>121</v>
      </c>
    </row>
    <row r="2992" spans="74:74" x14ac:dyDescent="0.3">
      <c r="BV2992" s="32">
        <f t="shared" ca="1" si="46"/>
        <v>121</v>
      </c>
    </row>
    <row r="2993" spans="74:74" x14ac:dyDescent="0.3">
      <c r="BV2993" s="32">
        <f t="shared" ca="1" si="46"/>
        <v>121</v>
      </c>
    </row>
    <row r="2994" spans="74:74" x14ac:dyDescent="0.3">
      <c r="BV2994" s="32">
        <f t="shared" ca="1" si="46"/>
        <v>121</v>
      </c>
    </row>
    <row r="2995" spans="74:74" x14ac:dyDescent="0.3">
      <c r="BV2995" s="32">
        <f t="shared" ca="1" si="46"/>
        <v>121</v>
      </c>
    </row>
    <row r="2996" spans="74:74" x14ac:dyDescent="0.3">
      <c r="BV2996" s="32">
        <f t="shared" ca="1" si="46"/>
        <v>121</v>
      </c>
    </row>
    <row r="2997" spans="74:74" x14ac:dyDescent="0.3">
      <c r="BV2997" s="32">
        <f t="shared" ca="1" si="46"/>
        <v>121</v>
      </c>
    </row>
    <row r="2998" spans="74:74" x14ac:dyDescent="0.3">
      <c r="BV2998" s="32">
        <f t="shared" ca="1" si="46"/>
        <v>121</v>
      </c>
    </row>
    <row r="2999" spans="74:74" x14ac:dyDescent="0.3">
      <c r="BV2999" s="32">
        <f t="shared" ca="1" si="46"/>
        <v>121</v>
      </c>
    </row>
    <row r="3000" spans="74:74" x14ac:dyDescent="0.3">
      <c r="BV3000" s="32">
        <f t="shared" ca="1" si="46"/>
        <v>121</v>
      </c>
    </row>
    <row r="3001" spans="74:74" x14ac:dyDescent="0.3">
      <c r="BV3001" s="32">
        <f t="shared" ca="1" si="46"/>
        <v>121</v>
      </c>
    </row>
    <row r="3002" spans="74:74" x14ac:dyDescent="0.3">
      <c r="BV3002" s="32">
        <f t="shared" ca="1" si="46"/>
        <v>121</v>
      </c>
    </row>
    <row r="3003" spans="74:74" x14ac:dyDescent="0.3">
      <c r="BV3003" s="32">
        <f t="shared" ca="1" si="46"/>
        <v>121</v>
      </c>
    </row>
    <row r="3004" spans="74:74" x14ac:dyDescent="0.3">
      <c r="BV3004" s="32">
        <f t="shared" ca="1" si="46"/>
        <v>121</v>
      </c>
    </row>
    <row r="3005" spans="74:74" x14ac:dyDescent="0.3">
      <c r="BV3005" s="32">
        <f t="shared" ca="1" si="46"/>
        <v>121</v>
      </c>
    </row>
    <row r="3006" spans="74:74" x14ac:dyDescent="0.3">
      <c r="BV3006" s="32">
        <f t="shared" ca="1" si="46"/>
        <v>121</v>
      </c>
    </row>
    <row r="3007" spans="74:74" x14ac:dyDescent="0.3">
      <c r="BV3007" s="32">
        <f t="shared" ca="1" si="46"/>
        <v>121</v>
      </c>
    </row>
    <row r="3008" spans="74:74" x14ac:dyDescent="0.3">
      <c r="BV3008" s="32">
        <f t="shared" ca="1" si="46"/>
        <v>121</v>
      </c>
    </row>
    <row r="3009" spans="74:74" x14ac:dyDescent="0.3">
      <c r="BV3009" s="32">
        <f t="shared" ca="1" si="46"/>
        <v>121</v>
      </c>
    </row>
    <row r="3010" spans="74:74" x14ac:dyDescent="0.3">
      <c r="BV3010" s="32">
        <f t="shared" ca="1" si="46"/>
        <v>121</v>
      </c>
    </row>
    <row r="3011" spans="74:74" x14ac:dyDescent="0.3">
      <c r="BV3011" s="32">
        <f t="shared" ca="1" si="46"/>
        <v>121</v>
      </c>
    </row>
    <row r="3012" spans="74:74" x14ac:dyDescent="0.3">
      <c r="BV3012" s="32">
        <f t="shared" ca="1" si="46"/>
        <v>121</v>
      </c>
    </row>
    <row r="3013" spans="74:74" x14ac:dyDescent="0.3">
      <c r="BV3013" s="32">
        <f t="shared" ca="1" si="46"/>
        <v>121</v>
      </c>
    </row>
    <row r="3014" spans="74:74" x14ac:dyDescent="0.3">
      <c r="BV3014" s="32">
        <f t="shared" ca="1" si="46"/>
        <v>121</v>
      </c>
    </row>
    <row r="3015" spans="74:74" x14ac:dyDescent="0.3">
      <c r="BV3015" s="32">
        <f t="shared" ca="1" si="46"/>
        <v>121</v>
      </c>
    </row>
    <row r="3016" spans="74:74" x14ac:dyDescent="0.3">
      <c r="BV3016" s="32">
        <f t="shared" ca="1" si="46"/>
        <v>121</v>
      </c>
    </row>
    <row r="3017" spans="74:74" x14ac:dyDescent="0.3">
      <c r="BV3017" s="32">
        <f t="shared" ca="1" si="46"/>
        <v>121</v>
      </c>
    </row>
    <row r="3018" spans="74:74" x14ac:dyDescent="0.3">
      <c r="BV3018" s="32">
        <f t="shared" ca="1" si="46"/>
        <v>121</v>
      </c>
    </row>
    <row r="3019" spans="74:74" x14ac:dyDescent="0.3">
      <c r="BV3019" s="32">
        <f t="shared" ca="1" si="46"/>
        <v>121</v>
      </c>
    </row>
    <row r="3020" spans="74:74" x14ac:dyDescent="0.3">
      <c r="BV3020" s="32">
        <f t="shared" ca="1" si="46"/>
        <v>121</v>
      </c>
    </row>
    <row r="3021" spans="74:74" x14ac:dyDescent="0.3">
      <c r="BV3021" s="32">
        <f t="shared" ref="BV3021:BV3084" ca="1" si="47">INT((TODAY()-$I3021)/365)</f>
        <v>121</v>
      </c>
    </row>
    <row r="3022" spans="74:74" x14ac:dyDescent="0.3">
      <c r="BV3022" s="32">
        <f t="shared" ca="1" si="47"/>
        <v>121</v>
      </c>
    </row>
    <row r="3023" spans="74:74" x14ac:dyDescent="0.3">
      <c r="BV3023" s="32">
        <f t="shared" ca="1" si="47"/>
        <v>121</v>
      </c>
    </row>
    <row r="3024" spans="74:74" x14ac:dyDescent="0.3">
      <c r="BV3024" s="32">
        <f t="shared" ca="1" si="47"/>
        <v>121</v>
      </c>
    </row>
    <row r="3025" spans="74:74" x14ac:dyDescent="0.3">
      <c r="BV3025" s="32">
        <f t="shared" ca="1" si="47"/>
        <v>121</v>
      </c>
    </row>
    <row r="3026" spans="74:74" x14ac:dyDescent="0.3">
      <c r="BV3026" s="32">
        <f t="shared" ca="1" si="47"/>
        <v>121</v>
      </c>
    </row>
    <row r="3027" spans="74:74" x14ac:dyDescent="0.3">
      <c r="BV3027" s="32">
        <f t="shared" ca="1" si="47"/>
        <v>121</v>
      </c>
    </row>
    <row r="3028" spans="74:74" x14ac:dyDescent="0.3">
      <c r="BV3028" s="32">
        <f t="shared" ca="1" si="47"/>
        <v>121</v>
      </c>
    </row>
    <row r="3029" spans="74:74" x14ac:dyDescent="0.3">
      <c r="BV3029" s="32">
        <f t="shared" ca="1" si="47"/>
        <v>121</v>
      </c>
    </row>
    <row r="3030" spans="74:74" x14ac:dyDescent="0.3">
      <c r="BV3030" s="32">
        <f t="shared" ca="1" si="47"/>
        <v>121</v>
      </c>
    </row>
    <row r="3031" spans="74:74" x14ac:dyDescent="0.3">
      <c r="BV3031" s="32">
        <f t="shared" ca="1" si="47"/>
        <v>121</v>
      </c>
    </row>
    <row r="3032" spans="74:74" x14ac:dyDescent="0.3">
      <c r="BV3032" s="32">
        <f t="shared" ca="1" si="47"/>
        <v>121</v>
      </c>
    </row>
    <row r="3033" spans="74:74" x14ac:dyDescent="0.3">
      <c r="BV3033" s="32">
        <f t="shared" ca="1" si="47"/>
        <v>121</v>
      </c>
    </row>
    <row r="3034" spans="74:74" x14ac:dyDescent="0.3">
      <c r="BV3034" s="32">
        <f t="shared" ca="1" si="47"/>
        <v>121</v>
      </c>
    </row>
    <row r="3035" spans="74:74" x14ac:dyDescent="0.3">
      <c r="BV3035" s="32">
        <f t="shared" ca="1" si="47"/>
        <v>121</v>
      </c>
    </row>
    <row r="3036" spans="74:74" x14ac:dyDescent="0.3">
      <c r="BV3036" s="32">
        <f t="shared" ca="1" si="47"/>
        <v>121</v>
      </c>
    </row>
    <row r="3037" spans="74:74" x14ac:dyDescent="0.3">
      <c r="BV3037" s="32">
        <f t="shared" ca="1" si="47"/>
        <v>121</v>
      </c>
    </row>
    <row r="3038" spans="74:74" x14ac:dyDescent="0.3">
      <c r="BV3038" s="32">
        <f t="shared" ca="1" si="47"/>
        <v>121</v>
      </c>
    </row>
    <row r="3039" spans="74:74" x14ac:dyDescent="0.3">
      <c r="BV3039" s="32">
        <f t="shared" ca="1" si="47"/>
        <v>121</v>
      </c>
    </row>
    <row r="3040" spans="74:74" x14ac:dyDescent="0.3">
      <c r="BV3040" s="32">
        <f t="shared" ca="1" si="47"/>
        <v>121</v>
      </c>
    </row>
    <row r="3041" spans="74:74" x14ac:dyDescent="0.3">
      <c r="BV3041" s="32">
        <f t="shared" ca="1" si="47"/>
        <v>121</v>
      </c>
    </row>
    <row r="3042" spans="74:74" x14ac:dyDescent="0.3">
      <c r="BV3042" s="32">
        <f t="shared" ca="1" si="47"/>
        <v>121</v>
      </c>
    </row>
    <row r="3043" spans="74:74" x14ac:dyDescent="0.3">
      <c r="BV3043" s="32">
        <f t="shared" ca="1" si="47"/>
        <v>121</v>
      </c>
    </row>
    <row r="3044" spans="74:74" x14ac:dyDescent="0.3">
      <c r="BV3044" s="32">
        <f t="shared" ca="1" si="47"/>
        <v>121</v>
      </c>
    </row>
    <row r="3045" spans="74:74" x14ac:dyDescent="0.3">
      <c r="BV3045" s="32">
        <f t="shared" ca="1" si="47"/>
        <v>121</v>
      </c>
    </row>
    <row r="3046" spans="74:74" x14ac:dyDescent="0.3">
      <c r="BV3046" s="32">
        <f t="shared" ca="1" si="47"/>
        <v>121</v>
      </c>
    </row>
    <row r="3047" spans="74:74" x14ac:dyDescent="0.3">
      <c r="BV3047" s="32">
        <f t="shared" ca="1" si="47"/>
        <v>121</v>
      </c>
    </row>
    <row r="3048" spans="74:74" x14ac:dyDescent="0.3">
      <c r="BV3048" s="32">
        <f t="shared" ca="1" si="47"/>
        <v>121</v>
      </c>
    </row>
    <row r="3049" spans="74:74" x14ac:dyDescent="0.3">
      <c r="BV3049" s="32">
        <f t="shared" ca="1" si="47"/>
        <v>121</v>
      </c>
    </row>
    <row r="3050" spans="74:74" x14ac:dyDescent="0.3">
      <c r="BV3050" s="32">
        <f t="shared" ca="1" si="47"/>
        <v>121</v>
      </c>
    </row>
    <row r="3051" spans="74:74" x14ac:dyDescent="0.3">
      <c r="BV3051" s="32">
        <f t="shared" ca="1" si="47"/>
        <v>121</v>
      </c>
    </row>
    <row r="3052" spans="74:74" x14ac:dyDescent="0.3">
      <c r="BV3052" s="32">
        <f t="shared" ca="1" si="47"/>
        <v>121</v>
      </c>
    </row>
    <row r="3053" spans="74:74" x14ac:dyDescent="0.3">
      <c r="BV3053" s="32">
        <f t="shared" ca="1" si="47"/>
        <v>121</v>
      </c>
    </row>
    <row r="3054" spans="74:74" x14ac:dyDescent="0.3">
      <c r="BV3054" s="32">
        <f t="shared" ca="1" si="47"/>
        <v>121</v>
      </c>
    </row>
    <row r="3055" spans="74:74" x14ac:dyDescent="0.3">
      <c r="BV3055" s="32">
        <f t="shared" ca="1" si="47"/>
        <v>121</v>
      </c>
    </row>
    <row r="3056" spans="74:74" x14ac:dyDescent="0.3">
      <c r="BV3056" s="32">
        <f t="shared" ca="1" si="47"/>
        <v>121</v>
      </c>
    </row>
    <row r="3057" spans="74:74" x14ac:dyDescent="0.3">
      <c r="BV3057" s="32">
        <f t="shared" ca="1" si="47"/>
        <v>121</v>
      </c>
    </row>
    <row r="3058" spans="74:74" x14ac:dyDescent="0.3">
      <c r="BV3058" s="32">
        <f t="shared" ca="1" si="47"/>
        <v>121</v>
      </c>
    </row>
    <row r="3059" spans="74:74" x14ac:dyDescent="0.3">
      <c r="BV3059" s="32">
        <f t="shared" ca="1" si="47"/>
        <v>121</v>
      </c>
    </row>
    <row r="3060" spans="74:74" x14ac:dyDescent="0.3">
      <c r="BV3060" s="32">
        <f t="shared" ca="1" si="47"/>
        <v>121</v>
      </c>
    </row>
    <row r="3061" spans="74:74" x14ac:dyDescent="0.3">
      <c r="BV3061" s="32">
        <f t="shared" ca="1" si="47"/>
        <v>121</v>
      </c>
    </row>
    <row r="3062" spans="74:74" x14ac:dyDescent="0.3">
      <c r="BV3062" s="32">
        <f t="shared" ca="1" si="47"/>
        <v>121</v>
      </c>
    </row>
    <row r="3063" spans="74:74" x14ac:dyDescent="0.3">
      <c r="BV3063" s="32">
        <f t="shared" ca="1" si="47"/>
        <v>121</v>
      </c>
    </row>
    <row r="3064" spans="74:74" x14ac:dyDescent="0.3">
      <c r="BV3064" s="32">
        <f t="shared" ca="1" si="47"/>
        <v>121</v>
      </c>
    </row>
    <row r="3065" spans="74:74" x14ac:dyDescent="0.3">
      <c r="BV3065" s="32">
        <f t="shared" ca="1" si="47"/>
        <v>121</v>
      </c>
    </row>
    <row r="3066" spans="74:74" x14ac:dyDescent="0.3">
      <c r="BV3066" s="32">
        <f t="shared" ca="1" si="47"/>
        <v>121</v>
      </c>
    </row>
    <row r="3067" spans="74:74" x14ac:dyDescent="0.3">
      <c r="BV3067" s="32">
        <f t="shared" ca="1" si="47"/>
        <v>121</v>
      </c>
    </row>
    <row r="3068" spans="74:74" x14ac:dyDescent="0.3">
      <c r="BV3068" s="32">
        <f t="shared" ca="1" si="47"/>
        <v>121</v>
      </c>
    </row>
    <row r="3069" spans="74:74" x14ac:dyDescent="0.3">
      <c r="BV3069" s="32">
        <f t="shared" ca="1" si="47"/>
        <v>121</v>
      </c>
    </row>
    <row r="3070" spans="74:74" x14ac:dyDescent="0.3">
      <c r="BV3070" s="32">
        <f t="shared" ca="1" si="47"/>
        <v>121</v>
      </c>
    </row>
    <row r="3071" spans="74:74" x14ac:dyDescent="0.3">
      <c r="BV3071" s="32">
        <f t="shared" ca="1" si="47"/>
        <v>121</v>
      </c>
    </row>
    <row r="3072" spans="74:74" x14ac:dyDescent="0.3">
      <c r="BV3072" s="32">
        <f t="shared" ca="1" si="47"/>
        <v>121</v>
      </c>
    </row>
    <row r="3073" spans="74:74" x14ac:dyDescent="0.3">
      <c r="BV3073" s="32">
        <f t="shared" ca="1" si="47"/>
        <v>121</v>
      </c>
    </row>
    <row r="3074" spans="74:74" x14ac:dyDescent="0.3">
      <c r="BV3074" s="32">
        <f t="shared" ca="1" si="47"/>
        <v>121</v>
      </c>
    </row>
    <row r="3075" spans="74:74" x14ac:dyDescent="0.3">
      <c r="BV3075" s="32">
        <f t="shared" ca="1" si="47"/>
        <v>121</v>
      </c>
    </row>
    <row r="3076" spans="74:74" x14ac:dyDescent="0.3">
      <c r="BV3076" s="32">
        <f t="shared" ca="1" si="47"/>
        <v>121</v>
      </c>
    </row>
    <row r="3077" spans="74:74" x14ac:dyDescent="0.3">
      <c r="BV3077" s="32">
        <f t="shared" ca="1" si="47"/>
        <v>121</v>
      </c>
    </row>
    <row r="3078" spans="74:74" x14ac:dyDescent="0.3">
      <c r="BV3078" s="32">
        <f t="shared" ca="1" si="47"/>
        <v>121</v>
      </c>
    </row>
    <row r="3079" spans="74:74" x14ac:dyDescent="0.3">
      <c r="BV3079" s="32">
        <f t="shared" ca="1" si="47"/>
        <v>121</v>
      </c>
    </row>
    <row r="3080" spans="74:74" x14ac:dyDescent="0.3">
      <c r="BV3080" s="32">
        <f t="shared" ca="1" si="47"/>
        <v>121</v>
      </c>
    </row>
    <row r="3081" spans="74:74" x14ac:dyDescent="0.3">
      <c r="BV3081" s="32">
        <f t="shared" ca="1" si="47"/>
        <v>121</v>
      </c>
    </row>
    <row r="3082" spans="74:74" x14ac:dyDescent="0.3">
      <c r="BV3082" s="32">
        <f t="shared" ca="1" si="47"/>
        <v>121</v>
      </c>
    </row>
    <row r="3083" spans="74:74" x14ac:dyDescent="0.3">
      <c r="BV3083" s="32">
        <f t="shared" ca="1" si="47"/>
        <v>121</v>
      </c>
    </row>
    <row r="3084" spans="74:74" x14ac:dyDescent="0.3">
      <c r="BV3084" s="32">
        <f t="shared" ca="1" si="47"/>
        <v>121</v>
      </c>
    </row>
    <row r="3085" spans="74:74" x14ac:dyDescent="0.3">
      <c r="BV3085" s="32">
        <f t="shared" ref="BV3085:BV3148" ca="1" si="48">INT((TODAY()-$I3085)/365)</f>
        <v>121</v>
      </c>
    </row>
    <row r="3086" spans="74:74" x14ac:dyDescent="0.3">
      <c r="BV3086" s="32">
        <f t="shared" ca="1" si="48"/>
        <v>121</v>
      </c>
    </row>
    <row r="3087" spans="74:74" x14ac:dyDescent="0.3">
      <c r="BV3087" s="32">
        <f t="shared" ca="1" si="48"/>
        <v>121</v>
      </c>
    </row>
    <row r="3088" spans="74:74" x14ac:dyDescent="0.3">
      <c r="BV3088" s="32">
        <f t="shared" ca="1" si="48"/>
        <v>121</v>
      </c>
    </row>
    <row r="3089" spans="74:74" x14ac:dyDescent="0.3">
      <c r="BV3089" s="32">
        <f t="shared" ca="1" si="48"/>
        <v>121</v>
      </c>
    </row>
    <row r="3090" spans="74:74" x14ac:dyDescent="0.3">
      <c r="BV3090" s="32">
        <f t="shared" ca="1" si="48"/>
        <v>121</v>
      </c>
    </row>
    <row r="3091" spans="74:74" x14ac:dyDescent="0.3">
      <c r="BV3091" s="32">
        <f t="shared" ca="1" si="48"/>
        <v>121</v>
      </c>
    </row>
    <row r="3092" spans="74:74" x14ac:dyDescent="0.3">
      <c r="BV3092" s="32">
        <f t="shared" ca="1" si="48"/>
        <v>121</v>
      </c>
    </row>
    <row r="3093" spans="74:74" x14ac:dyDescent="0.3">
      <c r="BV3093" s="32">
        <f t="shared" ca="1" si="48"/>
        <v>121</v>
      </c>
    </row>
    <row r="3094" spans="74:74" x14ac:dyDescent="0.3">
      <c r="BV3094" s="32">
        <f t="shared" ca="1" si="48"/>
        <v>121</v>
      </c>
    </row>
    <row r="3095" spans="74:74" x14ac:dyDescent="0.3">
      <c r="BV3095" s="32">
        <f t="shared" ca="1" si="48"/>
        <v>121</v>
      </c>
    </row>
    <row r="3096" spans="74:74" x14ac:dyDescent="0.3">
      <c r="BV3096" s="32">
        <f t="shared" ca="1" si="48"/>
        <v>121</v>
      </c>
    </row>
    <row r="3097" spans="74:74" x14ac:dyDescent="0.3">
      <c r="BV3097" s="32">
        <f t="shared" ca="1" si="48"/>
        <v>121</v>
      </c>
    </row>
    <row r="3098" spans="74:74" x14ac:dyDescent="0.3">
      <c r="BV3098" s="32">
        <f t="shared" ca="1" si="48"/>
        <v>121</v>
      </c>
    </row>
    <row r="3099" spans="74:74" x14ac:dyDescent="0.3">
      <c r="BV3099" s="32">
        <f t="shared" ca="1" si="48"/>
        <v>121</v>
      </c>
    </row>
    <row r="3100" spans="74:74" x14ac:dyDescent="0.3">
      <c r="BV3100" s="32">
        <f t="shared" ca="1" si="48"/>
        <v>121</v>
      </c>
    </row>
    <row r="3101" spans="74:74" x14ac:dyDescent="0.3">
      <c r="BV3101" s="32">
        <f t="shared" ca="1" si="48"/>
        <v>121</v>
      </c>
    </row>
    <row r="3102" spans="74:74" x14ac:dyDescent="0.3">
      <c r="BV3102" s="32">
        <f t="shared" ca="1" si="48"/>
        <v>121</v>
      </c>
    </row>
    <row r="3103" spans="74:74" x14ac:dyDescent="0.3">
      <c r="BV3103" s="32">
        <f t="shared" ca="1" si="48"/>
        <v>121</v>
      </c>
    </row>
    <row r="3104" spans="74:74" x14ac:dyDescent="0.3">
      <c r="BV3104" s="32">
        <f t="shared" ca="1" si="48"/>
        <v>121</v>
      </c>
    </row>
    <row r="3105" spans="74:74" x14ac:dyDescent="0.3">
      <c r="BV3105" s="32">
        <f t="shared" ca="1" si="48"/>
        <v>121</v>
      </c>
    </row>
    <row r="3106" spans="74:74" x14ac:dyDescent="0.3">
      <c r="BV3106" s="32">
        <f t="shared" ca="1" si="48"/>
        <v>121</v>
      </c>
    </row>
    <row r="3107" spans="74:74" x14ac:dyDescent="0.3">
      <c r="BV3107" s="32">
        <f t="shared" ca="1" si="48"/>
        <v>121</v>
      </c>
    </row>
    <row r="3108" spans="74:74" x14ac:dyDescent="0.3">
      <c r="BV3108" s="32">
        <f t="shared" ca="1" si="48"/>
        <v>121</v>
      </c>
    </row>
    <row r="3109" spans="74:74" x14ac:dyDescent="0.3">
      <c r="BV3109" s="32">
        <f t="shared" ca="1" si="48"/>
        <v>121</v>
      </c>
    </row>
    <row r="3110" spans="74:74" x14ac:dyDescent="0.3">
      <c r="BV3110" s="32">
        <f t="shared" ca="1" si="48"/>
        <v>121</v>
      </c>
    </row>
    <row r="3111" spans="74:74" x14ac:dyDescent="0.3">
      <c r="BV3111" s="32">
        <f t="shared" ca="1" si="48"/>
        <v>121</v>
      </c>
    </row>
    <row r="3112" spans="74:74" x14ac:dyDescent="0.3">
      <c r="BV3112" s="32">
        <f t="shared" ca="1" si="48"/>
        <v>121</v>
      </c>
    </row>
    <row r="3113" spans="74:74" x14ac:dyDescent="0.3">
      <c r="BV3113" s="32">
        <f t="shared" ca="1" si="48"/>
        <v>121</v>
      </c>
    </row>
    <row r="3114" spans="74:74" x14ac:dyDescent="0.3">
      <c r="BV3114" s="32">
        <f t="shared" ca="1" si="48"/>
        <v>121</v>
      </c>
    </row>
    <row r="3115" spans="74:74" x14ac:dyDescent="0.3">
      <c r="BV3115" s="32">
        <f t="shared" ca="1" si="48"/>
        <v>121</v>
      </c>
    </row>
    <row r="3116" spans="74:74" x14ac:dyDescent="0.3">
      <c r="BV3116" s="32">
        <f t="shared" ca="1" si="48"/>
        <v>121</v>
      </c>
    </row>
    <row r="3117" spans="74:74" x14ac:dyDescent="0.3">
      <c r="BV3117" s="32">
        <f t="shared" ca="1" si="48"/>
        <v>121</v>
      </c>
    </row>
    <row r="3118" spans="74:74" x14ac:dyDescent="0.3">
      <c r="BV3118" s="32">
        <f t="shared" ca="1" si="48"/>
        <v>121</v>
      </c>
    </row>
    <row r="3119" spans="74:74" x14ac:dyDescent="0.3">
      <c r="BV3119" s="32">
        <f t="shared" ca="1" si="48"/>
        <v>121</v>
      </c>
    </row>
    <row r="3120" spans="74:74" x14ac:dyDescent="0.3">
      <c r="BV3120" s="32">
        <f t="shared" ca="1" si="48"/>
        <v>121</v>
      </c>
    </row>
    <row r="3121" spans="74:74" x14ac:dyDescent="0.3">
      <c r="BV3121" s="32">
        <f t="shared" ca="1" si="48"/>
        <v>121</v>
      </c>
    </row>
    <row r="3122" spans="74:74" x14ac:dyDescent="0.3">
      <c r="BV3122" s="32">
        <f t="shared" ca="1" si="48"/>
        <v>121</v>
      </c>
    </row>
    <row r="3123" spans="74:74" x14ac:dyDescent="0.3">
      <c r="BV3123" s="32">
        <f t="shared" ca="1" si="48"/>
        <v>121</v>
      </c>
    </row>
    <row r="3124" spans="74:74" x14ac:dyDescent="0.3">
      <c r="BV3124" s="32">
        <f t="shared" ca="1" si="48"/>
        <v>121</v>
      </c>
    </row>
    <row r="3125" spans="74:74" x14ac:dyDescent="0.3">
      <c r="BV3125" s="32">
        <f t="shared" ca="1" si="48"/>
        <v>121</v>
      </c>
    </row>
    <row r="3126" spans="74:74" x14ac:dyDescent="0.3">
      <c r="BV3126" s="32">
        <f t="shared" ca="1" si="48"/>
        <v>121</v>
      </c>
    </row>
    <row r="3127" spans="74:74" x14ac:dyDescent="0.3">
      <c r="BV3127" s="32">
        <f t="shared" ca="1" si="48"/>
        <v>121</v>
      </c>
    </row>
    <row r="3128" spans="74:74" x14ac:dyDescent="0.3">
      <c r="BV3128" s="32">
        <f t="shared" ca="1" si="48"/>
        <v>121</v>
      </c>
    </row>
    <row r="3129" spans="74:74" x14ac:dyDescent="0.3">
      <c r="BV3129" s="32">
        <f t="shared" ca="1" si="48"/>
        <v>121</v>
      </c>
    </row>
    <row r="3130" spans="74:74" x14ac:dyDescent="0.3">
      <c r="BV3130" s="32">
        <f t="shared" ca="1" si="48"/>
        <v>121</v>
      </c>
    </row>
    <row r="3131" spans="74:74" x14ac:dyDescent="0.3">
      <c r="BV3131" s="32">
        <f t="shared" ca="1" si="48"/>
        <v>121</v>
      </c>
    </row>
    <row r="3132" spans="74:74" x14ac:dyDescent="0.3">
      <c r="BV3132" s="32">
        <f t="shared" ca="1" si="48"/>
        <v>121</v>
      </c>
    </row>
    <row r="3133" spans="74:74" x14ac:dyDescent="0.3">
      <c r="BV3133" s="32">
        <f t="shared" ca="1" si="48"/>
        <v>121</v>
      </c>
    </row>
    <row r="3134" spans="74:74" x14ac:dyDescent="0.3">
      <c r="BV3134" s="32">
        <f t="shared" ca="1" si="48"/>
        <v>121</v>
      </c>
    </row>
    <row r="3135" spans="74:74" x14ac:dyDescent="0.3">
      <c r="BV3135" s="32">
        <f t="shared" ca="1" si="48"/>
        <v>121</v>
      </c>
    </row>
    <row r="3136" spans="74:74" x14ac:dyDescent="0.3">
      <c r="BV3136" s="32">
        <f t="shared" ca="1" si="48"/>
        <v>121</v>
      </c>
    </row>
    <row r="3137" spans="74:74" x14ac:dyDescent="0.3">
      <c r="BV3137" s="32">
        <f t="shared" ca="1" si="48"/>
        <v>121</v>
      </c>
    </row>
    <row r="3138" spans="74:74" x14ac:dyDescent="0.3">
      <c r="BV3138" s="32">
        <f t="shared" ca="1" si="48"/>
        <v>121</v>
      </c>
    </row>
    <row r="3139" spans="74:74" x14ac:dyDescent="0.3">
      <c r="BV3139" s="32">
        <f t="shared" ca="1" si="48"/>
        <v>121</v>
      </c>
    </row>
    <row r="3140" spans="74:74" x14ac:dyDescent="0.3">
      <c r="BV3140" s="32">
        <f t="shared" ca="1" si="48"/>
        <v>121</v>
      </c>
    </row>
    <row r="3141" spans="74:74" x14ac:dyDescent="0.3">
      <c r="BV3141" s="32">
        <f t="shared" ca="1" si="48"/>
        <v>121</v>
      </c>
    </row>
    <row r="3142" spans="74:74" x14ac:dyDescent="0.3">
      <c r="BV3142" s="32">
        <f t="shared" ca="1" si="48"/>
        <v>121</v>
      </c>
    </row>
    <row r="3143" spans="74:74" x14ac:dyDescent="0.3">
      <c r="BV3143" s="32">
        <f t="shared" ca="1" si="48"/>
        <v>121</v>
      </c>
    </row>
    <row r="3144" spans="74:74" x14ac:dyDescent="0.3">
      <c r="BV3144" s="32">
        <f t="shared" ca="1" si="48"/>
        <v>121</v>
      </c>
    </row>
    <row r="3145" spans="74:74" x14ac:dyDescent="0.3">
      <c r="BV3145" s="32">
        <f t="shared" ca="1" si="48"/>
        <v>121</v>
      </c>
    </row>
    <row r="3146" spans="74:74" x14ac:dyDescent="0.3">
      <c r="BV3146" s="32">
        <f t="shared" ca="1" si="48"/>
        <v>121</v>
      </c>
    </row>
    <row r="3147" spans="74:74" x14ac:dyDescent="0.3">
      <c r="BV3147" s="32">
        <f t="shared" ca="1" si="48"/>
        <v>121</v>
      </c>
    </row>
    <row r="3148" spans="74:74" x14ac:dyDescent="0.3">
      <c r="BV3148" s="32">
        <f t="shared" ca="1" si="48"/>
        <v>121</v>
      </c>
    </row>
    <row r="3149" spans="74:74" x14ac:dyDescent="0.3">
      <c r="BV3149" s="32">
        <f t="shared" ref="BV3149:BV3212" ca="1" si="49">INT((TODAY()-$I3149)/365)</f>
        <v>121</v>
      </c>
    </row>
    <row r="3150" spans="74:74" x14ac:dyDescent="0.3">
      <c r="BV3150" s="32">
        <f t="shared" ca="1" si="49"/>
        <v>121</v>
      </c>
    </row>
    <row r="3151" spans="74:74" x14ac:dyDescent="0.3">
      <c r="BV3151" s="32">
        <f t="shared" ca="1" si="49"/>
        <v>121</v>
      </c>
    </row>
    <row r="3152" spans="74:74" x14ac:dyDescent="0.3">
      <c r="BV3152" s="32">
        <f t="shared" ca="1" si="49"/>
        <v>121</v>
      </c>
    </row>
    <row r="3153" spans="74:74" x14ac:dyDescent="0.3">
      <c r="BV3153" s="32">
        <f t="shared" ca="1" si="49"/>
        <v>121</v>
      </c>
    </row>
    <row r="3154" spans="74:74" x14ac:dyDescent="0.3">
      <c r="BV3154" s="32">
        <f t="shared" ca="1" si="49"/>
        <v>121</v>
      </c>
    </row>
    <row r="3155" spans="74:74" x14ac:dyDescent="0.3">
      <c r="BV3155" s="32">
        <f t="shared" ca="1" si="49"/>
        <v>121</v>
      </c>
    </row>
    <row r="3156" spans="74:74" x14ac:dyDescent="0.3">
      <c r="BV3156" s="32">
        <f t="shared" ca="1" si="49"/>
        <v>121</v>
      </c>
    </row>
    <row r="3157" spans="74:74" x14ac:dyDescent="0.3">
      <c r="BV3157" s="32">
        <f t="shared" ca="1" si="49"/>
        <v>121</v>
      </c>
    </row>
    <row r="3158" spans="74:74" x14ac:dyDescent="0.3">
      <c r="BV3158" s="32">
        <f t="shared" ca="1" si="49"/>
        <v>121</v>
      </c>
    </row>
    <row r="3159" spans="74:74" x14ac:dyDescent="0.3">
      <c r="BV3159" s="32">
        <f t="shared" ca="1" si="49"/>
        <v>121</v>
      </c>
    </row>
    <row r="3160" spans="74:74" x14ac:dyDescent="0.3">
      <c r="BV3160" s="32">
        <f t="shared" ca="1" si="49"/>
        <v>121</v>
      </c>
    </row>
    <row r="3161" spans="74:74" x14ac:dyDescent="0.3">
      <c r="BV3161" s="32">
        <f t="shared" ca="1" si="49"/>
        <v>121</v>
      </c>
    </row>
    <row r="3162" spans="74:74" x14ac:dyDescent="0.3">
      <c r="BV3162" s="32">
        <f t="shared" ca="1" si="49"/>
        <v>121</v>
      </c>
    </row>
    <row r="3163" spans="74:74" x14ac:dyDescent="0.3">
      <c r="BV3163" s="32">
        <f t="shared" ca="1" si="49"/>
        <v>121</v>
      </c>
    </row>
    <row r="3164" spans="74:74" x14ac:dyDescent="0.3">
      <c r="BV3164" s="32">
        <f t="shared" ca="1" si="49"/>
        <v>121</v>
      </c>
    </row>
    <row r="3165" spans="74:74" x14ac:dyDescent="0.3">
      <c r="BV3165" s="32">
        <f t="shared" ca="1" si="49"/>
        <v>121</v>
      </c>
    </row>
    <row r="3166" spans="74:74" x14ac:dyDescent="0.3">
      <c r="BV3166" s="32">
        <f t="shared" ca="1" si="49"/>
        <v>121</v>
      </c>
    </row>
    <row r="3167" spans="74:74" x14ac:dyDescent="0.3">
      <c r="BV3167" s="32">
        <f t="shared" ca="1" si="49"/>
        <v>121</v>
      </c>
    </row>
    <row r="3168" spans="74:74" x14ac:dyDescent="0.3">
      <c r="BV3168" s="32">
        <f t="shared" ca="1" si="49"/>
        <v>121</v>
      </c>
    </row>
    <row r="3169" spans="74:74" x14ac:dyDescent="0.3">
      <c r="BV3169" s="32">
        <f t="shared" ca="1" si="49"/>
        <v>121</v>
      </c>
    </row>
    <row r="3170" spans="74:74" x14ac:dyDescent="0.3">
      <c r="BV3170" s="32">
        <f t="shared" ca="1" si="49"/>
        <v>121</v>
      </c>
    </row>
    <row r="3171" spans="74:74" x14ac:dyDescent="0.3">
      <c r="BV3171" s="32">
        <f t="shared" ca="1" si="49"/>
        <v>121</v>
      </c>
    </row>
    <row r="3172" spans="74:74" x14ac:dyDescent="0.3">
      <c r="BV3172" s="32">
        <f t="shared" ca="1" si="49"/>
        <v>121</v>
      </c>
    </row>
    <row r="3173" spans="74:74" x14ac:dyDescent="0.3">
      <c r="BV3173" s="32">
        <f t="shared" ca="1" si="49"/>
        <v>121</v>
      </c>
    </row>
    <row r="3174" spans="74:74" x14ac:dyDescent="0.3">
      <c r="BV3174" s="32">
        <f t="shared" ca="1" si="49"/>
        <v>121</v>
      </c>
    </row>
    <row r="3175" spans="74:74" x14ac:dyDescent="0.3">
      <c r="BV3175" s="32">
        <f t="shared" ca="1" si="49"/>
        <v>121</v>
      </c>
    </row>
    <row r="3176" spans="74:74" x14ac:dyDescent="0.3">
      <c r="BV3176" s="32">
        <f t="shared" ca="1" si="49"/>
        <v>121</v>
      </c>
    </row>
    <row r="3177" spans="74:74" x14ac:dyDescent="0.3">
      <c r="BV3177" s="32">
        <f t="shared" ca="1" si="49"/>
        <v>121</v>
      </c>
    </row>
    <row r="3178" spans="74:74" x14ac:dyDescent="0.3">
      <c r="BV3178" s="32">
        <f t="shared" ca="1" si="49"/>
        <v>121</v>
      </c>
    </row>
    <row r="3179" spans="74:74" x14ac:dyDescent="0.3">
      <c r="BV3179" s="32">
        <f t="shared" ca="1" si="49"/>
        <v>121</v>
      </c>
    </row>
    <row r="3180" spans="74:74" x14ac:dyDescent="0.3">
      <c r="BV3180" s="32">
        <f t="shared" ca="1" si="49"/>
        <v>121</v>
      </c>
    </row>
    <row r="3181" spans="74:74" x14ac:dyDescent="0.3">
      <c r="BV3181" s="32">
        <f t="shared" ca="1" si="49"/>
        <v>121</v>
      </c>
    </row>
    <row r="3182" spans="74:74" x14ac:dyDescent="0.3">
      <c r="BV3182" s="32">
        <f t="shared" ca="1" si="49"/>
        <v>121</v>
      </c>
    </row>
    <row r="3183" spans="74:74" x14ac:dyDescent="0.3">
      <c r="BV3183" s="32">
        <f t="shared" ca="1" si="49"/>
        <v>121</v>
      </c>
    </row>
    <row r="3184" spans="74:74" x14ac:dyDescent="0.3">
      <c r="BV3184" s="32">
        <f t="shared" ca="1" si="49"/>
        <v>121</v>
      </c>
    </row>
    <row r="3185" spans="74:74" x14ac:dyDescent="0.3">
      <c r="BV3185" s="32">
        <f t="shared" ca="1" si="49"/>
        <v>121</v>
      </c>
    </row>
    <row r="3186" spans="74:74" x14ac:dyDescent="0.3">
      <c r="BV3186" s="32">
        <f t="shared" ca="1" si="49"/>
        <v>121</v>
      </c>
    </row>
    <row r="3187" spans="74:74" x14ac:dyDescent="0.3">
      <c r="BV3187" s="32">
        <f t="shared" ca="1" si="49"/>
        <v>121</v>
      </c>
    </row>
    <row r="3188" spans="74:74" x14ac:dyDescent="0.3">
      <c r="BV3188" s="32">
        <f t="shared" ca="1" si="49"/>
        <v>121</v>
      </c>
    </row>
    <row r="3189" spans="74:74" x14ac:dyDescent="0.3">
      <c r="BV3189" s="32">
        <f t="shared" ca="1" si="49"/>
        <v>121</v>
      </c>
    </row>
    <row r="3190" spans="74:74" x14ac:dyDescent="0.3">
      <c r="BV3190" s="32">
        <f t="shared" ca="1" si="49"/>
        <v>121</v>
      </c>
    </row>
    <row r="3191" spans="74:74" x14ac:dyDescent="0.3">
      <c r="BV3191" s="32">
        <f t="shared" ca="1" si="49"/>
        <v>121</v>
      </c>
    </row>
    <row r="3192" spans="74:74" x14ac:dyDescent="0.3">
      <c r="BV3192" s="32">
        <f t="shared" ca="1" si="49"/>
        <v>121</v>
      </c>
    </row>
    <row r="3193" spans="74:74" x14ac:dyDescent="0.3">
      <c r="BV3193" s="32">
        <f t="shared" ca="1" si="49"/>
        <v>121</v>
      </c>
    </row>
    <row r="3194" spans="74:74" x14ac:dyDescent="0.3">
      <c r="BV3194" s="32">
        <f t="shared" ca="1" si="49"/>
        <v>121</v>
      </c>
    </row>
    <row r="3195" spans="74:74" x14ac:dyDescent="0.3">
      <c r="BV3195" s="32">
        <f t="shared" ca="1" si="49"/>
        <v>121</v>
      </c>
    </row>
    <row r="3196" spans="74:74" x14ac:dyDescent="0.3">
      <c r="BV3196" s="32">
        <f t="shared" ca="1" si="49"/>
        <v>121</v>
      </c>
    </row>
    <row r="3197" spans="74:74" x14ac:dyDescent="0.3">
      <c r="BV3197" s="32">
        <f t="shared" ca="1" si="49"/>
        <v>121</v>
      </c>
    </row>
    <row r="3198" spans="74:74" x14ac:dyDescent="0.3">
      <c r="BV3198" s="32">
        <f t="shared" ca="1" si="49"/>
        <v>121</v>
      </c>
    </row>
    <row r="3199" spans="74:74" x14ac:dyDescent="0.3">
      <c r="BV3199" s="32">
        <f t="shared" ca="1" si="49"/>
        <v>121</v>
      </c>
    </row>
    <row r="3200" spans="74:74" x14ac:dyDescent="0.3">
      <c r="BV3200" s="32">
        <f t="shared" ca="1" si="49"/>
        <v>121</v>
      </c>
    </row>
    <row r="3201" spans="74:74" x14ac:dyDescent="0.3">
      <c r="BV3201" s="32">
        <f t="shared" ca="1" si="49"/>
        <v>121</v>
      </c>
    </row>
    <row r="3202" spans="74:74" x14ac:dyDescent="0.3">
      <c r="BV3202" s="32">
        <f t="shared" ca="1" si="49"/>
        <v>121</v>
      </c>
    </row>
    <row r="3203" spans="74:74" x14ac:dyDescent="0.3">
      <c r="BV3203" s="32">
        <f t="shared" ca="1" si="49"/>
        <v>121</v>
      </c>
    </row>
    <row r="3204" spans="74:74" x14ac:dyDescent="0.3">
      <c r="BV3204" s="32">
        <f t="shared" ca="1" si="49"/>
        <v>121</v>
      </c>
    </row>
    <row r="3205" spans="74:74" x14ac:dyDescent="0.3">
      <c r="BV3205" s="32">
        <f t="shared" ca="1" si="49"/>
        <v>121</v>
      </c>
    </row>
    <row r="3206" spans="74:74" x14ac:dyDescent="0.3">
      <c r="BV3206" s="32">
        <f t="shared" ca="1" si="49"/>
        <v>121</v>
      </c>
    </row>
    <row r="3207" spans="74:74" x14ac:dyDescent="0.3">
      <c r="BV3207" s="32">
        <f t="shared" ca="1" si="49"/>
        <v>121</v>
      </c>
    </row>
    <row r="3208" spans="74:74" x14ac:dyDescent="0.3">
      <c r="BV3208" s="32">
        <f t="shared" ca="1" si="49"/>
        <v>121</v>
      </c>
    </row>
    <row r="3209" spans="74:74" x14ac:dyDescent="0.3">
      <c r="BV3209" s="32">
        <f t="shared" ca="1" si="49"/>
        <v>121</v>
      </c>
    </row>
    <row r="3210" spans="74:74" x14ac:dyDescent="0.3">
      <c r="BV3210" s="32">
        <f t="shared" ca="1" si="49"/>
        <v>121</v>
      </c>
    </row>
    <row r="3211" spans="74:74" x14ac:dyDescent="0.3">
      <c r="BV3211" s="32">
        <f t="shared" ca="1" si="49"/>
        <v>121</v>
      </c>
    </row>
    <row r="3212" spans="74:74" x14ac:dyDescent="0.3">
      <c r="BV3212" s="32">
        <f t="shared" ca="1" si="49"/>
        <v>121</v>
      </c>
    </row>
    <row r="3213" spans="74:74" x14ac:dyDescent="0.3">
      <c r="BV3213" s="32">
        <f t="shared" ref="BV3213:BV3276" ca="1" si="50">INT((TODAY()-$I3213)/365)</f>
        <v>121</v>
      </c>
    </row>
    <row r="3214" spans="74:74" x14ac:dyDescent="0.3">
      <c r="BV3214" s="32">
        <f t="shared" ca="1" si="50"/>
        <v>121</v>
      </c>
    </row>
    <row r="3215" spans="74:74" x14ac:dyDescent="0.3">
      <c r="BV3215" s="32">
        <f t="shared" ca="1" si="50"/>
        <v>121</v>
      </c>
    </row>
    <row r="3216" spans="74:74" x14ac:dyDescent="0.3">
      <c r="BV3216" s="32">
        <f t="shared" ca="1" si="50"/>
        <v>121</v>
      </c>
    </row>
    <row r="3217" spans="74:74" x14ac:dyDescent="0.3">
      <c r="BV3217" s="32">
        <f t="shared" ca="1" si="50"/>
        <v>121</v>
      </c>
    </row>
    <row r="3218" spans="74:74" x14ac:dyDescent="0.3">
      <c r="BV3218" s="32">
        <f t="shared" ca="1" si="50"/>
        <v>121</v>
      </c>
    </row>
    <row r="3219" spans="74:74" x14ac:dyDescent="0.3">
      <c r="BV3219" s="32">
        <f t="shared" ca="1" si="50"/>
        <v>121</v>
      </c>
    </row>
    <row r="3220" spans="74:74" x14ac:dyDescent="0.3">
      <c r="BV3220" s="32">
        <f t="shared" ca="1" si="50"/>
        <v>121</v>
      </c>
    </row>
    <row r="3221" spans="74:74" x14ac:dyDescent="0.3">
      <c r="BV3221" s="32">
        <f t="shared" ca="1" si="50"/>
        <v>121</v>
      </c>
    </row>
    <row r="3222" spans="74:74" x14ac:dyDescent="0.3">
      <c r="BV3222" s="32">
        <f t="shared" ca="1" si="50"/>
        <v>121</v>
      </c>
    </row>
    <row r="3223" spans="74:74" x14ac:dyDescent="0.3">
      <c r="BV3223" s="32">
        <f t="shared" ca="1" si="50"/>
        <v>121</v>
      </c>
    </row>
    <row r="3224" spans="74:74" x14ac:dyDescent="0.3">
      <c r="BV3224" s="32">
        <f t="shared" ca="1" si="50"/>
        <v>121</v>
      </c>
    </row>
    <row r="3225" spans="74:74" x14ac:dyDescent="0.3">
      <c r="BV3225" s="32">
        <f t="shared" ca="1" si="50"/>
        <v>121</v>
      </c>
    </row>
    <row r="3226" spans="74:74" x14ac:dyDescent="0.3">
      <c r="BV3226" s="32">
        <f t="shared" ca="1" si="50"/>
        <v>121</v>
      </c>
    </row>
    <row r="3227" spans="74:74" x14ac:dyDescent="0.3">
      <c r="BV3227" s="32">
        <f t="shared" ca="1" si="50"/>
        <v>121</v>
      </c>
    </row>
    <row r="3228" spans="74:74" x14ac:dyDescent="0.3">
      <c r="BV3228" s="32">
        <f t="shared" ca="1" si="50"/>
        <v>121</v>
      </c>
    </row>
    <row r="3229" spans="74:74" x14ac:dyDescent="0.3">
      <c r="BV3229" s="32">
        <f t="shared" ca="1" si="50"/>
        <v>121</v>
      </c>
    </row>
    <row r="3230" spans="74:74" x14ac:dyDescent="0.3">
      <c r="BV3230" s="32">
        <f t="shared" ca="1" si="50"/>
        <v>121</v>
      </c>
    </row>
    <row r="3231" spans="74:74" x14ac:dyDescent="0.3">
      <c r="BV3231" s="32">
        <f t="shared" ca="1" si="50"/>
        <v>121</v>
      </c>
    </row>
    <row r="3232" spans="74:74" x14ac:dyDescent="0.3">
      <c r="BV3232" s="32">
        <f t="shared" ca="1" si="50"/>
        <v>121</v>
      </c>
    </row>
    <row r="3233" spans="74:74" x14ac:dyDescent="0.3">
      <c r="BV3233" s="32">
        <f t="shared" ca="1" si="50"/>
        <v>121</v>
      </c>
    </row>
    <row r="3234" spans="74:74" x14ac:dyDescent="0.3">
      <c r="BV3234" s="32">
        <f t="shared" ca="1" si="50"/>
        <v>121</v>
      </c>
    </row>
    <row r="3235" spans="74:74" x14ac:dyDescent="0.3">
      <c r="BV3235" s="32">
        <f t="shared" ca="1" si="50"/>
        <v>121</v>
      </c>
    </row>
    <row r="3236" spans="74:74" x14ac:dyDescent="0.3">
      <c r="BV3236" s="32">
        <f t="shared" ca="1" si="50"/>
        <v>121</v>
      </c>
    </row>
    <row r="3237" spans="74:74" x14ac:dyDescent="0.3">
      <c r="BV3237" s="32">
        <f t="shared" ca="1" si="50"/>
        <v>121</v>
      </c>
    </row>
    <row r="3238" spans="74:74" x14ac:dyDescent="0.3">
      <c r="BV3238" s="32">
        <f t="shared" ca="1" si="50"/>
        <v>121</v>
      </c>
    </row>
    <row r="3239" spans="74:74" x14ac:dyDescent="0.3">
      <c r="BV3239" s="32">
        <f t="shared" ca="1" si="50"/>
        <v>121</v>
      </c>
    </row>
    <row r="3240" spans="74:74" x14ac:dyDescent="0.3">
      <c r="BV3240" s="32">
        <f t="shared" ca="1" si="50"/>
        <v>121</v>
      </c>
    </row>
    <row r="3241" spans="74:74" x14ac:dyDescent="0.3">
      <c r="BV3241" s="32">
        <f t="shared" ca="1" si="50"/>
        <v>121</v>
      </c>
    </row>
    <row r="3242" spans="74:74" x14ac:dyDescent="0.3">
      <c r="BV3242" s="32">
        <f t="shared" ca="1" si="50"/>
        <v>121</v>
      </c>
    </row>
    <row r="3243" spans="74:74" x14ac:dyDescent="0.3">
      <c r="BV3243" s="32">
        <f t="shared" ca="1" si="50"/>
        <v>121</v>
      </c>
    </row>
    <row r="3244" spans="74:74" x14ac:dyDescent="0.3">
      <c r="BV3244" s="32">
        <f t="shared" ca="1" si="50"/>
        <v>121</v>
      </c>
    </row>
    <row r="3245" spans="74:74" x14ac:dyDescent="0.3">
      <c r="BV3245" s="32">
        <f t="shared" ca="1" si="50"/>
        <v>121</v>
      </c>
    </row>
    <row r="3246" spans="74:74" x14ac:dyDescent="0.3">
      <c r="BV3246" s="32">
        <f t="shared" ca="1" si="50"/>
        <v>121</v>
      </c>
    </row>
    <row r="3247" spans="74:74" x14ac:dyDescent="0.3">
      <c r="BV3247" s="32">
        <f t="shared" ca="1" si="50"/>
        <v>121</v>
      </c>
    </row>
    <row r="3248" spans="74:74" x14ac:dyDescent="0.3">
      <c r="BV3248" s="32">
        <f t="shared" ca="1" si="50"/>
        <v>121</v>
      </c>
    </row>
    <row r="3249" spans="74:74" x14ac:dyDescent="0.3">
      <c r="BV3249" s="32">
        <f t="shared" ca="1" si="50"/>
        <v>121</v>
      </c>
    </row>
    <row r="3250" spans="74:74" x14ac:dyDescent="0.3">
      <c r="BV3250" s="32">
        <f t="shared" ca="1" si="50"/>
        <v>121</v>
      </c>
    </row>
    <row r="3251" spans="74:74" x14ac:dyDescent="0.3">
      <c r="BV3251" s="32">
        <f t="shared" ca="1" si="50"/>
        <v>121</v>
      </c>
    </row>
    <row r="3252" spans="74:74" x14ac:dyDescent="0.3">
      <c r="BV3252" s="32">
        <f t="shared" ca="1" si="50"/>
        <v>121</v>
      </c>
    </row>
    <row r="3253" spans="74:74" x14ac:dyDescent="0.3">
      <c r="BV3253" s="32">
        <f t="shared" ca="1" si="50"/>
        <v>121</v>
      </c>
    </row>
    <row r="3254" spans="74:74" x14ac:dyDescent="0.3">
      <c r="BV3254" s="32">
        <f t="shared" ca="1" si="50"/>
        <v>121</v>
      </c>
    </row>
    <row r="3255" spans="74:74" x14ac:dyDescent="0.3">
      <c r="BV3255" s="32">
        <f t="shared" ca="1" si="50"/>
        <v>121</v>
      </c>
    </row>
    <row r="3256" spans="74:74" x14ac:dyDescent="0.3">
      <c r="BV3256" s="32">
        <f t="shared" ca="1" si="50"/>
        <v>121</v>
      </c>
    </row>
    <row r="3257" spans="74:74" x14ac:dyDescent="0.3">
      <c r="BV3257" s="32">
        <f t="shared" ca="1" si="50"/>
        <v>121</v>
      </c>
    </row>
    <row r="3258" spans="74:74" x14ac:dyDescent="0.3">
      <c r="BV3258" s="32">
        <f t="shared" ca="1" si="50"/>
        <v>121</v>
      </c>
    </row>
    <row r="3259" spans="74:74" x14ac:dyDescent="0.3">
      <c r="BV3259" s="32">
        <f t="shared" ca="1" si="50"/>
        <v>121</v>
      </c>
    </row>
    <row r="3260" spans="74:74" x14ac:dyDescent="0.3">
      <c r="BV3260" s="32">
        <f t="shared" ca="1" si="50"/>
        <v>121</v>
      </c>
    </row>
    <row r="3261" spans="74:74" x14ac:dyDescent="0.3">
      <c r="BV3261" s="32">
        <f t="shared" ca="1" si="50"/>
        <v>121</v>
      </c>
    </row>
    <row r="3262" spans="74:74" x14ac:dyDescent="0.3">
      <c r="BV3262" s="32">
        <f t="shared" ca="1" si="50"/>
        <v>121</v>
      </c>
    </row>
    <row r="3263" spans="74:74" x14ac:dyDescent="0.3">
      <c r="BV3263" s="32">
        <f t="shared" ca="1" si="50"/>
        <v>121</v>
      </c>
    </row>
    <row r="3264" spans="74:74" x14ac:dyDescent="0.3">
      <c r="BV3264" s="32">
        <f t="shared" ca="1" si="50"/>
        <v>121</v>
      </c>
    </row>
    <row r="3265" spans="74:74" x14ac:dyDescent="0.3">
      <c r="BV3265" s="32">
        <f t="shared" ca="1" si="50"/>
        <v>121</v>
      </c>
    </row>
    <row r="3266" spans="74:74" x14ac:dyDescent="0.3">
      <c r="BV3266" s="32">
        <f t="shared" ca="1" si="50"/>
        <v>121</v>
      </c>
    </row>
    <row r="3267" spans="74:74" x14ac:dyDescent="0.3">
      <c r="BV3267" s="32">
        <f t="shared" ca="1" si="50"/>
        <v>121</v>
      </c>
    </row>
    <row r="3268" spans="74:74" x14ac:dyDescent="0.3">
      <c r="BV3268" s="32">
        <f t="shared" ca="1" si="50"/>
        <v>121</v>
      </c>
    </row>
    <row r="3269" spans="74:74" x14ac:dyDescent="0.3">
      <c r="BV3269" s="32">
        <f t="shared" ca="1" si="50"/>
        <v>121</v>
      </c>
    </row>
    <row r="3270" spans="74:74" x14ac:dyDescent="0.3">
      <c r="BV3270" s="32">
        <f t="shared" ca="1" si="50"/>
        <v>121</v>
      </c>
    </row>
    <row r="3271" spans="74:74" x14ac:dyDescent="0.3">
      <c r="BV3271" s="32">
        <f t="shared" ca="1" si="50"/>
        <v>121</v>
      </c>
    </row>
    <row r="3272" spans="74:74" x14ac:dyDescent="0.3">
      <c r="BV3272" s="32">
        <f t="shared" ca="1" si="50"/>
        <v>121</v>
      </c>
    </row>
    <row r="3273" spans="74:74" x14ac:dyDescent="0.3">
      <c r="BV3273" s="32">
        <f t="shared" ca="1" si="50"/>
        <v>121</v>
      </c>
    </row>
    <row r="3274" spans="74:74" x14ac:dyDescent="0.3">
      <c r="BV3274" s="32">
        <f t="shared" ca="1" si="50"/>
        <v>121</v>
      </c>
    </row>
    <row r="3275" spans="74:74" x14ac:dyDescent="0.3">
      <c r="BV3275" s="32">
        <f t="shared" ca="1" si="50"/>
        <v>121</v>
      </c>
    </row>
    <row r="3276" spans="74:74" x14ac:dyDescent="0.3">
      <c r="BV3276" s="32">
        <f t="shared" ca="1" si="50"/>
        <v>121</v>
      </c>
    </row>
    <row r="3277" spans="74:74" x14ac:dyDescent="0.3">
      <c r="BV3277" s="32">
        <f t="shared" ref="BV3277:BV3340" ca="1" si="51">INT((TODAY()-$I3277)/365)</f>
        <v>121</v>
      </c>
    </row>
    <row r="3278" spans="74:74" x14ac:dyDescent="0.3">
      <c r="BV3278" s="32">
        <f t="shared" ca="1" si="51"/>
        <v>121</v>
      </c>
    </row>
    <row r="3279" spans="74:74" x14ac:dyDescent="0.3">
      <c r="BV3279" s="32">
        <f t="shared" ca="1" si="51"/>
        <v>121</v>
      </c>
    </row>
    <row r="3280" spans="74:74" x14ac:dyDescent="0.3">
      <c r="BV3280" s="32">
        <f t="shared" ca="1" si="51"/>
        <v>121</v>
      </c>
    </row>
    <row r="3281" spans="74:74" x14ac:dyDescent="0.3">
      <c r="BV3281" s="32">
        <f t="shared" ca="1" si="51"/>
        <v>121</v>
      </c>
    </row>
    <row r="3282" spans="74:74" x14ac:dyDescent="0.3">
      <c r="BV3282" s="32">
        <f t="shared" ca="1" si="51"/>
        <v>121</v>
      </c>
    </row>
    <row r="3283" spans="74:74" x14ac:dyDescent="0.3">
      <c r="BV3283" s="32">
        <f t="shared" ca="1" si="51"/>
        <v>121</v>
      </c>
    </row>
    <row r="3284" spans="74:74" x14ac:dyDescent="0.3">
      <c r="BV3284" s="32">
        <f t="shared" ca="1" si="51"/>
        <v>121</v>
      </c>
    </row>
    <row r="3285" spans="74:74" x14ac:dyDescent="0.3">
      <c r="BV3285" s="32">
        <f t="shared" ca="1" si="51"/>
        <v>121</v>
      </c>
    </row>
    <row r="3286" spans="74:74" x14ac:dyDescent="0.3">
      <c r="BV3286" s="32">
        <f t="shared" ca="1" si="51"/>
        <v>121</v>
      </c>
    </row>
    <row r="3287" spans="74:74" x14ac:dyDescent="0.3">
      <c r="BV3287" s="32">
        <f t="shared" ca="1" si="51"/>
        <v>121</v>
      </c>
    </row>
    <row r="3288" spans="74:74" x14ac:dyDescent="0.3">
      <c r="BV3288" s="32">
        <f t="shared" ca="1" si="51"/>
        <v>121</v>
      </c>
    </row>
    <row r="3289" spans="74:74" x14ac:dyDescent="0.3">
      <c r="BV3289" s="32">
        <f t="shared" ca="1" si="51"/>
        <v>121</v>
      </c>
    </row>
    <row r="3290" spans="74:74" x14ac:dyDescent="0.3">
      <c r="BV3290" s="32">
        <f t="shared" ca="1" si="51"/>
        <v>121</v>
      </c>
    </row>
    <row r="3291" spans="74:74" x14ac:dyDescent="0.3">
      <c r="BV3291" s="32">
        <f t="shared" ca="1" si="51"/>
        <v>121</v>
      </c>
    </row>
    <row r="3292" spans="74:74" x14ac:dyDescent="0.3">
      <c r="BV3292" s="32">
        <f t="shared" ca="1" si="51"/>
        <v>121</v>
      </c>
    </row>
    <row r="3293" spans="74:74" x14ac:dyDescent="0.3">
      <c r="BV3293" s="32">
        <f t="shared" ca="1" si="51"/>
        <v>121</v>
      </c>
    </row>
    <row r="3294" spans="74:74" x14ac:dyDescent="0.3">
      <c r="BV3294" s="32">
        <f t="shared" ca="1" si="51"/>
        <v>121</v>
      </c>
    </row>
    <row r="3295" spans="74:74" x14ac:dyDescent="0.3">
      <c r="BV3295" s="32">
        <f t="shared" ca="1" si="51"/>
        <v>121</v>
      </c>
    </row>
    <row r="3296" spans="74:74" x14ac:dyDescent="0.3">
      <c r="BV3296" s="32">
        <f t="shared" ca="1" si="51"/>
        <v>121</v>
      </c>
    </row>
    <row r="3297" spans="74:74" x14ac:dyDescent="0.3">
      <c r="BV3297" s="32">
        <f t="shared" ca="1" si="51"/>
        <v>121</v>
      </c>
    </row>
    <row r="3298" spans="74:74" x14ac:dyDescent="0.3">
      <c r="BV3298" s="32">
        <f t="shared" ca="1" si="51"/>
        <v>121</v>
      </c>
    </row>
    <row r="3299" spans="74:74" x14ac:dyDescent="0.3">
      <c r="BV3299" s="32">
        <f t="shared" ca="1" si="51"/>
        <v>121</v>
      </c>
    </row>
    <row r="3300" spans="74:74" x14ac:dyDescent="0.3">
      <c r="BV3300" s="32">
        <f t="shared" ca="1" si="51"/>
        <v>121</v>
      </c>
    </row>
    <row r="3301" spans="74:74" x14ac:dyDescent="0.3">
      <c r="BV3301" s="32">
        <f t="shared" ca="1" si="51"/>
        <v>121</v>
      </c>
    </row>
    <row r="3302" spans="74:74" x14ac:dyDescent="0.3">
      <c r="BV3302" s="32">
        <f t="shared" ca="1" si="51"/>
        <v>121</v>
      </c>
    </row>
    <row r="3303" spans="74:74" x14ac:dyDescent="0.3">
      <c r="BV3303" s="32">
        <f t="shared" ca="1" si="51"/>
        <v>121</v>
      </c>
    </row>
    <row r="3304" spans="74:74" x14ac:dyDescent="0.3">
      <c r="BV3304" s="32">
        <f t="shared" ca="1" si="51"/>
        <v>121</v>
      </c>
    </row>
    <row r="3305" spans="74:74" x14ac:dyDescent="0.3">
      <c r="BV3305" s="32">
        <f t="shared" ca="1" si="51"/>
        <v>121</v>
      </c>
    </row>
    <row r="3306" spans="74:74" x14ac:dyDescent="0.3">
      <c r="BV3306" s="32">
        <f t="shared" ca="1" si="51"/>
        <v>121</v>
      </c>
    </row>
    <row r="3307" spans="74:74" x14ac:dyDescent="0.3">
      <c r="BV3307" s="32">
        <f t="shared" ca="1" si="51"/>
        <v>121</v>
      </c>
    </row>
    <row r="3308" spans="74:74" x14ac:dyDescent="0.3">
      <c r="BV3308" s="32">
        <f t="shared" ca="1" si="51"/>
        <v>121</v>
      </c>
    </row>
    <row r="3309" spans="74:74" x14ac:dyDescent="0.3">
      <c r="BV3309" s="32">
        <f t="shared" ca="1" si="51"/>
        <v>121</v>
      </c>
    </row>
    <row r="3310" spans="74:74" x14ac:dyDescent="0.3">
      <c r="BV3310" s="32">
        <f t="shared" ca="1" si="51"/>
        <v>121</v>
      </c>
    </row>
    <row r="3311" spans="74:74" x14ac:dyDescent="0.3">
      <c r="BV3311" s="32">
        <f t="shared" ca="1" si="51"/>
        <v>121</v>
      </c>
    </row>
    <row r="3312" spans="74:74" x14ac:dyDescent="0.3">
      <c r="BV3312" s="32">
        <f t="shared" ca="1" si="51"/>
        <v>121</v>
      </c>
    </row>
    <row r="3313" spans="74:74" x14ac:dyDescent="0.3">
      <c r="BV3313" s="32">
        <f t="shared" ca="1" si="51"/>
        <v>121</v>
      </c>
    </row>
    <row r="3314" spans="74:74" x14ac:dyDescent="0.3">
      <c r="BV3314" s="32">
        <f t="shared" ca="1" si="51"/>
        <v>121</v>
      </c>
    </row>
    <row r="3315" spans="74:74" x14ac:dyDescent="0.3">
      <c r="BV3315" s="32">
        <f t="shared" ca="1" si="51"/>
        <v>121</v>
      </c>
    </row>
    <row r="3316" spans="74:74" x14ac:dyDescent="0.3">
      <c r="BV3316" s="32">
        <f t="shared" ca="1" si="51"/>
        <v>121</v>
      </c>
    </row>
    <row r="3317" spans="74:74" x14ac:dyDescent="0.3">
      <c r="BV3317" s="32">
        <f t="shared" ca="1" si="51"/>
        <v>121</v>
      </c>
    </row>
    <row r="3318" spans="74:74" x14ac:dyDescent="0.3">
      <c r="BV3318" s="32">
        <f t="shared" ca="1" si="51"/>
        <v>121</v>
      </c>
    </row>
    <row r="3319" spans="74:74" x14ac:dyDescent="0.3">
      <c r="BV3319" s="32">
        <f t="shared" ca="1" si="51"/>
        <v>121</v>
      </c>
    </row>
    <row r="3320" spans="74:74" x14ac:dyDescent="0.3">
      <c r="BV3320" s="32">
        <f t="shared" ca="1" si="51"/>
        <v>121</v>
      </c>
    </row>
    <row r="3321" spans="74:74" x14ac:dyDescent="0.3">
      <c r="BV3321" s="32">
        <f t="shared" ca="1" si="51"/>
        <v>121</v>
      </c>
    </row>
    <row r="3322" spans="74:74" x14ac:dyDescent="0.3">
      <c r="BV3322" s="32">
        <f t="shared" ca="1" si="51"/>
        <v>121</v>
      </c>
    </row>
    <row r="3323" spans="74:74" x14ac:dyDescent="0.3">
      <c r="BV3323" s="32">
        <f t="shared" ca="1" si="51"/>
        <v>121</v>
      </c>
    </row>
    <row r="3324" spans="74:74" x14ac:dyDescent="0.3">
      <c r="BV3324" s="32">
        <f t="shared" ca="1" si="51"/>
        <v>121</v>
      </c>
    </row>
    <row r="3325" spans="74:74" x14ac:dyDescent="0.3">
      <c r="BV3325" s="32">
        <f t="shared" ca="1" si="51"/>
        <v>121</v>
      </c>
    </row>
    <row r="3326" spans="74:74" x14ac:dyDescent="0.3">
      <c r="BV3326" s="32">
        <f t="shared" ca="1" si="51"/>
        <v>121</v>
      </c>
    </row>
    <row r="3327" spans="74:74" x14ac:dyDescent="0.3">
      <c r="BV3327" s="32">
        <f t="shared" ca="1" si="51"/>
        <v>121</v>
      </c>
    </row>
    <row r="3328" spans="74:74" x14ac:dyDescent="0.3">
      <c r="BV3328" s="32">
        <f t="shared" ca="1" si="51"/>
        <v>121</v>
      </c>
    </row>
    <row r="3329" spans="74:74" x14ac:dyDescent="0.3">
      <c r="BV3329" s="32">
        <f t="shared" ca="1" si="51"/>
        <v>121</v>
      </c>
    </row>
    <row r="3330" spans="74:74" x14ac:dyDescent="0.3">
      <c r="BV3330" s="32">
        <f t="shared" ca="1" si="51"/>
        <v>121</v>
      </c>
    </row>
    <row r="3331" spans="74:74" x14ac:dyDescent="0.3">
      <c r="BV3331" s="32">
        <f t="shared" ca="1" si="51"/>
        <v>121</v>
      </c>
    </row>
    <row r="3332" spans="74:74" x14ac:dyDescent="0.3">
      <c r="BV3332" s="32">
        <f t="shared" ca="1" si="51"/>
        <v>121</v>
      </c>
    </row>
    <row r="3333" spans="74:74" x14ac:dyDescent="0.3">
      <c r="BV3333" s="32">
        <f t="shared" ca="1" si="51"/>
        <v>121</v>
      </c>
    </row>
    <row r="3334" spans="74:74" x14ac:dyDescent="0.3">
      <c r="BV3334" s="32">
        <f t="shared" ca="1" si="51"/>
        <v>121</v>
      </c>
    </row>
    <row r="3335" spans="74:74" x14ac:dyDescent="0.3">
      <c r="BV3335" s="32">
        <f t="shared" ca="1" si="51"/>
        <v>121</v>
      </c>
    </row>
    <row r="3336" spans="74:74" x14ac:dyDescent="0.3">
      <c r="BV3336" s="32">
        <f t="shared" ca="1" si="51"/>
        <v>121</v>
      </c>
    </row>
    <row r="3337" spans="74:74" x14ac:dyDescent="0.3">
      <c r="BV3337" s="32">
        <f t="shared" ca="1" si="51"/>
        <v>121</v>
      </c>
    </row>
    <row r="3338" spans="74:74" x14ac:dyDescent="0.3">
      <c r="BV3338" s="32">
        <f t="shared" ca="1" si="51"/>
        <v>121</v>
      </c>
    </row>
    <row r="3339" spans="74:74" x14ac:dyDescent="0.3">
      <c r="BV3339" s="32">
        <f t="shared" ca="1" si="51"/>
        <v>121</v>
      </c>
    </row>
    <row r="3340" spans="74:74" x14ac:dyDescent="0.3">
      <c r="BV3340" s="32">
        <f t="shared" ca="1" si="51"/>
        <v>121</v>
      </c>
    </row>
    <row r="3341" spans="74:74" x14ac:dyDescent="0.3">
      <c r="BV3341" s="32">
        <f t="shared" ref="BV3341:BV3404" ca="1" si="52">INT((TODAY()-$I3341)/365)</f>
        <v>121</v>
      </c>
    </row>
    <row r="3342" spans="74:74" x14ac:dyDescent="0.3">
      <c r="BV3342" s="32">
        <f t="shared" ca="1" si="52"/>
        <v>121</v>
      </c>
    </row>
    <row r="3343" spans="74:74" x14ac:dyDescent="0.3">
      <c r="BV3343" s="32">
        <f t="shared" ca="1" si="52"/>
        <v>121</v>
      </c>
    </row>
    <row r="3344" spans="74:74" x14ac:dyDescent="0.3">
      <c r="BV3344" s="32">
        <f t="shared" ca="1" si="52"/>
        <v>121</v>
      </c>
    </row>
    <row r="3345" spans="74:74" x14ac:dyDescent="0.3">
      <c r="BV3345" s="32">
        <f t="shared" ca="1" si="52"/>
        <v>121</v>
      </c>
    </row>
    <row r="3346" spans="74:74" x14ac:dyDescent="0.3">
      <c r="BV3346" s="32">
        <f t="shared" ca="1" si="52"/>
        <v>121</v>
      </c>
    </row>
    <row r="3347" spans="74:74" x14ac:dyDescent="0.3">
      <c r="BV3347" s="32">
        <f t="shared" ca="1" si="52"/>
        <v>121</v>
      </c>
    </row>
    <row r="3348" spans="74:74" x14ac:dyDescent="0.3">
      <c r="BV3348" s="32">
        <f t="shared" ca="1" si="52"/>
        <v>121</v>
      </c>
    </row>
    <row r="3349" spans="74:74" x14ac:dyDescent="0.3">
      <c r="BV3349" s="32">
        <f t="shared" ca="1" si="52"/>
        <v>121</v>
      </c>
    </row>
    <row r="3350" spans="74:74" x14ac:dyDescent="0.3">
      <c r="BV3350" s="32">
        <f t="shared" ca="1" si="52"/>
        <v>121</v>
      </c>
    </row>
    <row r="3351" spans="74:74" x14ac:dyDescent="0.3">
      <c r="BV3351" s="32">
        <f t="shared" ca="1" si="52"/>
        <v>121</v>
      </c>
    </row>
    <row r="3352" spans="74:74" x14ac:dyDescent="0.3">
      <c r="BV3352" s="32">
        <f t="shared" ca="1" si="52"/>
        <v>121</v>
      </c>
    </row>
    <row r="3353" spans="74:74" x14ac:dyDescent="0.3">
      <c r="BV3353" s="32">
        <f t="shared" ca="1" si="52"/>
        <v>121</v>
      </c>
    </row>
    <row r="3354" spans="74:74" x14ac:dyDescent="0.3">
      <c r="BV3354" s="32">
        <f t="shared" ca="1" si="52"/>
        <v>121</v>
      </c>
    </row>
    <row r="3355" spans="74:74" x14ac:dyDescent="0.3">
      <c r="BV3355" s="32">
        <f t="shared" ca="1" si="52"/>
        <v>121</v>
      </c>
    </row>
    <row r="3356" spans="74:74" x14ac:dyDescent="0.3">
      <c r="BV3356" s="32">
        <f t="shared" ca="1" si="52"/>
        <v>121</v>
      </c>
    </row>
    <row r="3357" spans="74:74" x14ac:dyDescent="0.3">
      <c r="BV3357" s="32">
        <f t="shared" ca="1" si="52"/>
        <v>121</v>
      </c>
    </row>
    <row r="3358" spans="74:74" x14ac:dyDescent="0.3">
      <c r="BV3358" s="32">
        <f t="shared" ca="1" si="52"/>
        <v>121</v>
      </c>
    </row>
    <row r="3359" spans="74:74" x14ac:dyDescent="0.3">
      <c r="BV3359" s="32">
        <f t="shared" ca="1" si="52"/>
        <v>121</v>
      </c>
    </row>
    <row r="3360" spans="74:74" x14ac:dyDescent="0.3">
      <c r="BV3360" s="32">
        <f t="shared" ca="1" si="52"/>
        <v>121</v>
      </c>
    </row>
    <row r="3361" spans="74:74" x14ac:dyDescent="0.3">
      <c r="BV3361" s="32">
        <f t="shared" ca="1" si="52"/>
        <v>121</v>
      </c>
    </row>
    <row r="3362" spans="74:74" x14ac:dyDescent="0.3">
      <c r="BV3362" s="32">
        <f t="shared" ca="1" si="52"/>
        <v>121</v>
      </c>
    </row>
    <row r="3363" spans="74:74" x14ac:dyDescent="0.3">
      <c r="BV3363" s="32">
        <f t="shared" ca="1" si="52"/>
        <v>121</v>
      </c>
    </row>
    <row r="3364" spans="74:74" x14ac:dyDescent="0.3">
      <c r="BV3364" s="32">
        <f t="shared" ca="1" si="52"/>
        <v>121</v>
      </c>
    </row>
    <row r="3365" spans="74:74" x14ac:dyDescent="0.3">
      <c r="BV3365" s="32">
        <f t="shared" ca="1" si="52"/>
        <v>121</v>
      </c>
    </row>
    <row r="3366" spans="74:74" x14ac:dyDescent="0.3">
      <c r="BV3366" s="32">
        <f t="shared" ca="1" si="52"/>
        <v>121</v>
      </c>
    </row>
    <row r="3367" spans="74:74" x14ac:dyDescent="0.3">
      <c r="BV3367" s="32">
        <f t="shared" ca="1" si="52"/>
        <v>121</v>
      </c>
    </row>
    <row r="3368" spans="74:74" x14ac:dyDescent="0.3">
      <c r="BV3368" s="32">
        <f t="shared" ca="1" si="52"/>
        <v>121</v>
      </c>
    </row>
    <row r="3369" spans="74:74" x14ac:dyDescent="0.3">
      <c r="BV3369" s="32">
        <f t="shared" ca="1" si="52"/>
        <v>121</v>
      </c>
    </row>
    <row r="3370" spans="74:74" x14ac:dyDescent="0.3">
      <c r="BV3370" s="32">
        <f t="shared" ca="1" si="52"/>
        <v>121</v>
      </c>
    </row>
    <row r="3371" spans="74:74" x14ac:dyDescent="0.3">
      <c r="BV3371" s="32">
        <f t="shared" ca="1" si="52"/>
        <v>121</v>
      </c>
    </row>
    <row r="3372" spans="74:74" x14ac:dyDescent="0.3">
      <c r="BV3372" s="32">
        <f t="shared" ca="1" si="52"/>
        <v>121</v>
      </c>
    </row>
    <row r="3373" spans="74:74" x14ac:dyDescent="0.3">
      <c r="BV3373" s="32">
        <f t="shared" ca="1" si="52"/>
        <v>121</v>
      </c>
    </row>
    <row r="3374" spans="74:74" x14ac:dyDescent="0.3">
      <c r="BV3374" s="32">
        <f t="shared" ca="1" si="52"/>
        <v>121</v>
      </c>
    </row>
    <row r="3375" spans="74:74" x14ac:dyDescent="0.3">
      <c r="BV3375" s="32">
        <f t="shared" ca="1" si="52"/>
        <v>121</v>
      </c>
    </row>
    <row r="3376" spans="74:74" x14ac:dyDescent="0.3">
      <c r="BV3376" s="32">
        <f t="shared" ca="1" si="52"/>
        <v>121</v>
      </c>
    </row>
    <row r="3377" spans="74:74" x14ac:dyDescent="0.3">
      <c r="BV3377" s="32">
        <f t="shared" ca="1" si="52"/>
        <v>121</v>
      </c>
    </row>
    <row r="3378" spans="74:74" x14ac:dyDescent="0.3">
      <c r="BV3378" s="32">
        <f t="shared" ca="1" si="52"/>
        <v>121</v>
      </c>
    </row>
    <row r="3379" spans="74:74" x14ac:dyDescent="0.3">
      <c r="BV3379" s="32">
        <f t="shared" ca="1" si="52"/>
        <v>121</v>
      </c>
    </row>
    <row r="3380" spans="74:74" x14ac:dyDescent="0.3">
      <c r="BV3380" s="32">
        <f t="shared" ca="1" si="52"/>
        <v>121</v>
      </c>
    </row>
    <row r="3381" spans="74:74" x14ac:dyDescent="0.3">
      <c r="BV3381" s="32">
        <f t="shared" ca="1" si="52"/>
        <v>121</v>
      </c>
    </row>
    <row r="3382" spans="74:74" x14ac:dyDescent="0.3">
      <c r="BV3382" s="32">
        <f t="shared" ca="1" si="52"/>
        <v>121</v>
      </c>
    </row>
    <row r="3383" spans="74:74" x14ac:dyDescent="0.3">
      <c r="BV3383" s="32">
        <f t="shared" ca="1" si="52"/>
        <v>121</v>
      </c>
    </row>
    <row r="3384" spans="74:74" x14ac:dyDescent="0.3">
      <c r="BV3384" s="32">
        <f t="shared" ca="1" si="52"/>
        <v>121</v>
      </c>
    </row>
    <row r="3385" spans="74:74" x14ac:dyDescent="0.3">
      <c r="BV3385" s="32">
        <f t="shared" ca="1" si="52"/>
        <v>121</v>
      </c>
    </row>
    <row r="3386" spans="74:74" x14ac:dyDescent="0.3">
      <c r="BV3386" s="32">
        <f t="shared" ca="1" si="52"/>
        <v>121</v>
      </c>
    </row>
    <row r="3387" spans="74:74" x14ac:dyDescent="0.3">
      <c r="BV3387" s="32">
        <f t="shared" ca="1" si="52"/>
        <v>121</v>
      </c>
    </row>
    <row r="3388" spans="74:74" x14ac:dyDescent="0.3">
      <c r="BV3388" s="32">
        <f t="shared" ca="1" si="52"/>
        <v>121</v>
      </c>
    </row>
    <row r="3389" spans="74:74" x14ac:dyDescent="0.3">
      <c r="BV3389" s="32">
        <f t="shared" ca="1" si="52"/>
        <v>121</v>
      </c>
    </row>
    <row r="3390" spans="74:74" x14ac:dyDescent="0.3">
      <c r="BV3390" s="32">
        <f t="shared" ca="1" si="52"/>
        <v>121</v>
      </c>
    </row>
    <row r="3391" spans="74:74" x14ac:dyDescent="0.3">
      <c r="BV3391" s="32">
        <f t="shared" ca="1" si="52"/>
        <v>121</v>
      </c>
    </row>
    <row r="3392" spans="74:74" x14ac:dyDescent="0.3">
      <c r="BV3392" s="32">
        <f t="shared" ca="1" si="52"/>
        <v>121</v>
      </c>
    </row>
    <row r="3393" spans="74:74" x14ac:dyDescent="0.3">
      <c r="BV3393" s="32">
        <f t="shared" ca="1" si="52"/>
        <v>121</v>
      </c>
    </row>
    <row r="3394" spans="74:74" x14ac:dyDescent="0.3">
      <c r="BV3394" s="32">
        <f t="shared" ca="1" si="52"/>
        <v>121</v>
      </c>
    </row>
    <row r="3395" spans="74:74" x14ac:dyDescent="0.3">
      <c r="BV3395" s="32">
        <f t="shared" ca="1" si="52"/>
        <v>121</v>
      </c>
    </row>
    <row r="3396" spans="74:74" x14ac:dyDescent="0.3">
      <c r="BV3396" s="32">
        <f t="shared" ca="1" si="52"/>
        <v>121</v>
      </c>
    </row>
    <row r="3397" spans="74:74" x14ac:dyDescent="0.3">
      <c r="BV3397" s="32">
        <f t="shared" ca="1" si="52"/>
        <v>121</v>
      </c>
    </row>
    <row r="3398" spans="74:74" x14ac:dyDescent="0.3">
      <c r="BV3398" s="32">
        <f t="shared" ca="1" si="52"/>
        <v>121</v>
      </c>
    </row>
    <row r="3399" spans="74:74" x14ac:dyDescent="0.3">
      <c r="BV3399" s="32">
        <f t="shared" ca="1" si="52"/>
        <v>121</v>
      </c>
    </row>
    <row r="3400" spans="74:74" x14ac:dyDescent="0.3">
      <c r="BV3400" s="32">
        <f t="shared" ca="1" si="52"/>
        <v>121</v>
      </c>
    </row>
    <row r="3401" spans="74:74" x14ac:dyDescent="0.3">
      <c r="BV3401" s="32">
        <f t="shared" ca="1" si="52"/>
        <v>121</v>
      </c>
    </row>
    <row r="3402" spans="74:74" x14ac:dyDescent="0.3">
      <c r="BV3402" s="32">
        <f t="shared" ca="1" si="52"/>
        <v>121</v>
      </c>
    </row>
    <row r="3403" spans="74:74" x14ac:dyDescent="0.3">
      <c r="BV3403" s="32">
        <f t="shared" ca="1" si="52"/>
        <v>121</v>
      </c>
    </row>
    <row r="3404" spans="74:74" x14ac:dyDescent="0.3">
      <c r="BV3404" s="32">
        <f t="shared" ca="1" si="52"/>
        <v>121</v>
      </c>
    </row>
    <row r="3405" spans="74:74" x14ac:dyDescent="0.3">
      <c r="BV3405" s="32">
        <f t="shared" ref="BV3405:BV3468" ca="1" si="53">INT((TODAY()-$I3405)/365)</f>
        <v>121</v>
      </c>
    </row>
    <row r="3406" spans="74:74" x14ac:dyDescent="0.3">
      <c r="BV3406" s="32">
        <f t="shared" ca="1" si="53"/>
        <v>121</v>
      </c>
    </row>
    <row r="3407" spans="74:74" x14ac:dyDescent="0.3">
      <c r="BV3407" s="32">
        <f t="shared" ca="1" si="53"/>
        <v>121</v>
      </c>
    </row>
    <row r="3408" spans="74:74" x14ac:dyDescent="0.3">
      <c r="BV3408" s="32">
        <f t="shared" ca="1" si="53"/>
        <v>121</v>
      </c>
    </row>
    <row r="3409" spans="74:74" x14ac:dyDescent="0.3">
      <c r="BV3409" s="32">
        <f t="shared" ca="1" si="53"/>
        <v>121</v>
      </c>
    </row>
    <row r="3410" spans="74:74" x14ac:dyDescent="0.3">
      <c r="BV3410" s="32">
        <f t="shared" ca="1" si="53"/>
        <v>121</v>
      </c>
    </row>
    <row r="3411" spans="74:74" x14ac:dyDescent="0.3">
      <c r="BV3411" s="32">
        <f t="shared" ca="1" si="53"/>
        <v>121</v>
      </c>
    </row>
    <row r="3412" spans="74:74" x14ac:dyDescent="0.3">
      <c r="BV3412" s="32">
        <f t="shared" ca="1" si="53"/>
        <v>121</v>
      </c>
    </row>
    <row r="3413" spans="74:74" x14ac:dyDescent="0.3">
      <c r="BV3413" s="32">
        <f t="shared" ca="1" si="53"/>
        <v>121</v>
      </c>
    </row>
    <row r="3414" spans="74:74" x14ac:dyDescent="0.3">
      <c r="BV3414" s="32">
        <f t="shared" ca="1" si="53"/>
        <v>121</v>
      </c>
    </row>
    <row r="3415" spans="74:74" x14ac:dyDescent="0.3">
      <c r="BV3415" s="32">
        <f t="shared" ca="1" si="53"/>
        <v>121</v>
      </c>
    </row>
    <row r="3416" spans="74:74" x14ac:dyDescent="0.3">
      <c r="BV3416" s="32">
        <f t="shared" ca="1" si="53"/>
        <v>121</v>
      </c>
    </row>
    <row r="3417" spans="74:74" x14ac:dyDescent="0.3">
      <c r="BV3417" s="32">
        <f t="shared" ca="1" si="53"/>
        <v>121</v>
      </c>
    </row>
    <row r="3418" spans="74:74" x14ac:dyDescent="0.3">
      <c r="BV3418" s="32">
        <f t="shared" ca="1" si="53"/>
        <v>121</v>
      </c>
    </row>
    <row r="3419" spans="74:74" x14ac:dyDescent="0.3">
      <c r="BV3419" s="32">
        <f t="shared" ca="1" si="53"/>
        <v>121</v>
      </c>
    </row>
    <row r="3420" spans="74:74" x14ac:dyDescent="0.3">
      <c r="BV3420" s="32">
        <f t="shared" ca="1" si="53"/>
        <v>121</v>
      </c>
    </row>
    <row r="3421" spans="74:74" x14ac:dyDescent="0.3">
      <c r="BV3421" s="32">
        <f t="shared" ca="1" si="53"/>
        <v>121</v>
      </c>
    </row>
    <row r="3422" spans="74:74" x14ac:dyDescent="0.3">
      <c r="BV3422" s="32">
        <f t="shared" ca="1" si="53"/>
        <v>121</v>
      </c>
    </row>
    <row r="3423" spans="74:74" x14ac:dyDescent="0.3">
      <c r="BV3423" s="32">
        <f t="shared" ca="1" si="53"/>
        <v>121</v>
      </c>
    </row>
    <row r="3424" spans="74:74" x14ac:dyDescent="0.3">
      <c r="BV3424" s="32">
        <f t="shared" ca="1" si="53"/>
        <v>121</v>
      </c>
    </row>
    <row r="3425" spans="74:74" x14ac:dyDescent="0.3">
      <c r="BV3425" s="32">
        <f t="shared" ca="1" si="53"/>
        <v>121</v>
      </c>
    </row>
    <row r="3426" spans="74:74" x14ac:dyDescent="0.3">
      <c r="BV3426" s="32">
        <f t="shared" ca="1" si="53"/>
        <v>121</v>
      </c>
    </row>
    <row r="3427" spans="74:74" x14ac:dyDescent="0.3">
      <c r="BV3427" s="32">
        <f t="shared" ca="1" si="53"/>
        <v>121</v>
      </c>
    </row>
    <row r="3428" spans="74:74" x14ac:dyDescent="0.3">
      <c r="BV3428" s="32">
        <f t="shared" ca="1" si="53"/>
        <v>121</v>
      </c>
    </row>
    <row r="3429" spans="74:74" x14ac:dyDescent="0.3">
      <c r="BV3429" s="32">
        <f t="shared" ca="1" si="53"/>
        <v>121</v>
      </c>
    </row>
    <row r="3430" spans="74:74" x14ac:dyDescent="0.3">
      <c r="BV3430" s="32">
        <f t="shared" ca="1" si="53"/>
        <v>121</v>
      </c>
    </row>
    <row r="3431" spans="74:74" x14ac:dyDescent="0.3">
      <c r="BV3431" s="32">
        <f t="shared" ca="1" si="53"/>
        <v>121</v>
      </c>
    </row>
    <row r="3432" spans="74:74" x14ac:dyDescent="0.3">
      <c r="BV3432" s="32">
        <f t="shared" ca="1" si="53"/>
        <v>121</v>
      </c>
    </row>
    <row r="3433" spans="74:74" x14ac:dyDescent="0.3">
      <c r="BV3433" s="32">
        <f t="shared" ca="1" si="53"/>
        <v>121</v>
      </c>
    </row>
    <row r="3434" spans="74:74" x14ac:dyDescent="0.3">
      <c r="BV3434" s="32">
        <f t="shared" ca="1" si="53"/>
        <v>121</v>
      </c>
    </row>
    <row r="3435" spans="74:74" x14ac:dyDescent="0.3">
      <c r="BV3435" s="32">
        <f t="shared" ca="1" si="53"/>
        <v>121</v>
      </c>
    </row>
    <row r="3436" spans="74:74" x14ac:dyDescent="0.3">
      <c r="BV3436" s="32">
        <f t="shared" ca="1" si="53"/>
        <v>121</v>
      </c>
    </row>
    <row r="3437" spans="74:74" x14ac:dyDescent="0.3">
      <c r="BV3437" s="32">
        <f t="shared" ca="1" si="53"/>
        <v>121</v>
      </c>
    </row>
    <row r="3438" spans="74:74" x14ac:dyDescent="0.3">
      <c r="BV3438" s="32">
        <f t="shared" ca="1" si="53"/>
        <v>121</v>
      </c>
    </row>
    <row r="3439" spans="74:74" x14ac:dyDescent="0.3">
      <c r="BV3439" s="32">
        <f t="shared" ca="1" si="53"/>
        <v>121</v>
      </c>
    </row>
    <row r="3440" spans="74:74" x14ac:dyDescent="0.3">
      <c r="BV3440" s="32">
        <f t="shared" ca="1" si="53"/>
        <v>121</v>
      </c>
    </row>
    <row r="3441" spans="74:74" x14ac:dyDescent="0.3">
      <c r="BV3441" s="32">
        <f t="shared" ca="1" si="53"/>
        <v>121</v>
      </c>
    </row>
    <row r="3442" spans="74:74" x14ac:dyDescent="0.3">
      <c r="BV3442" s="32">
        <f t="shared" ca="1" si="53"/>
        <v>121</v>
      </c>
    </row>
    <row r="3443" spans="74:74" x14ac:dyDescent="0.3">
      <c r="BV3443" s="32">
        <f t="shared" ca="1" si="53"/>
        <v>121</v>
      </c>
    </row>
    <row r="3444" spans="74:74" x14ac:dyDescent="0.3">
      <c r="BV3444" s="32">
        <f t="shared" ca="1" si="53"/>
        <v>121</v>
      </c>
    </row>
    <row r="3445" spans="74:74" x14ac:dyDescent="0.3">
      <c r="BV3445" s="32">
        <f t="shared" ca="1" si="53"/>
        <v>121</v>
      </c>
    </row>
    <row r="3446" spans="74:74" x14ac:dyDescent="0.3">
      <c r="BV3446" s="32">
        <f t="shared" ca="1" si="53"/>
        <v>121</v>
      </c>
    </row>
    <row r="3447" spans="74:74" x14ac:dyDescent="0.3">
      <c r="BV3447" s="32">
        <f t="shared" ca="1" si="53"/>
        <v>121</v>
      </c>
    </row>
    <row r="3448" spans="74:74" x14ac:dyDescent="0.3">
      <c r="BV3448" s="32">
        <f t="shared" ca="1" si="53"/>
        <v>121</v>
      </c>
    </row>
    <row r="3449" spans="74:74" x14ac:dyDescent="0.3">
      <c r="BV3449" s="32">
        <f t="shared" ca="1" si="53"/>
        <v>121</v>
      </c>
    </row>
    <row r="3450" spans="74:74" x14ac:dyDescent="0.3">
      <c r="BV3450" s="32">
        <f t="shared" ca="1" si="53"/>
        <v>121</v>
      </c>
    </row>
    <row r="3451" spans="74:74" x14ac:dyDescent="0.3">
      <c r="BV3451" s="32">
        <f t="shared" ca="1" si="53"/>
        <v>121</v>
      </c>
    </row>
    <row r="3452" spans="74:74" x14ac:dyDescent="0.3">
      <c r="BV3452" s="32">
        <f t="shared" ca="1" si="53"/>
        <v>121</v>
      </c>
    </row>
    <row r="3453" spans="74:74" x14ac:dyDescent="0.3">
      <c r="BV3453" s="32">
        <f t="shared" ca="1" si="53"/>
        <v>121</v>
      </c>
    </row>
    <row r="3454" spans="74:74" x14ac:dyDescent="0.3">
      <c r="BV3454" s="32">
        <f t="shared" ca="1" si="53"/>
        <v>121</v>
      </c>
    </row>
    <row r="3455" spans="74:74" x14ac:dyDescent="0.3">
      <c r="BV3455" s="32">
        <f t="shared" ca="1" si="53"/>
        <v>121</v>
      </c>
    </row>
    <row r="3456" spans="74:74" x14ac:dyDescent="0.3">
      <c r="BV3456" s="32">
        <f t="shared" ca="1" si="53"/>
        <v>121</v>
      </c>
    </row>
    <row r="3457" spans="74:74" x14ac:dyDescent="0.3">
      <c r="BV3457" s="32">
        <f t="shared" ca="1" si="53"/>
        <v>121</v>
      </c>
    </row>
    <row r="3458" spans="74:74" x14ac:dyDescent="0.3">
      <c r="BV3458" s="32">
        <f t="shared" ca="1" si="53"/>
        <v>121</v>
      </c>
    </row>
    <row r="3459" spans="74:74" x14ac:dyDescent="0.3">
      <c r="BV3459" s="32">
        <f t="shared" ca="1" si="53"/>
        <v>121</v>
      </c>
    </row>
    <row r="3460" spans="74:74" x14ac:dyDescent="0.3">
      <c r="BV3460" s="32">
        <f t="shared" ca="1" si="53"/>
        <v>121</v>
      </c>
    </row>
    <row r="3461" spans="74:74" x14ac:dyDescent="0.3">
      <c r="BV3461" s="32">
        <f t="shared" ca="1" si="53"/>
        <v>121</v>
      </c>
    </row>
    <row r="3462" spans="74:74" x14ac:dyDescent="0.3">
      <c r="BV3462" s="32">
        <f t="shared" ca="1" si="53"/>
        <v>121</v>
      </c>
    </row>
    <row r="3463" spans="74:74" x14ac:dyDescent="0.3">
      <c r="BV3463" s="32">
        <f t="shared" ca="1" si="53"/>
        <v>121</v>
      </c>
    </row>
    <row r="3464" spans="74:74" x14ac:dyDescent="0.3">
      <c r="BV3464" s="32">
        <f t="shared" ca="1" si="53"/>
        <v>121</v>
      </c>
    </row>
    <row r="3465" spans="74:74" x14ac:dyDescent="0.3">
      <c r="BV3465" s="32">
        <f t="shared" ca="1" si="53"/>
        <v>121</v>
      </c>
    </row>
    <row r="3466" spans="74:74" x14ac:dyDescent="0.3">
      <c r="BV3466" s="32">
        <f t="shared" ca="1" si="53"/>
        <v>121</v>
      </c>
    </row>
    <row r="3467" spans="74:74" x14ac:dyDescent="0.3">
      <c r="BV3467" s="32">
        <f t="shared" ca="1" si="53"/>
        <v>121</v>
      </c>
    </row>
    <row r="3468" spans="74:74" x14ac:dyDescent="0.3">
      <c r="BV3468" s="32">
        <f t="shared" ca="1" si="53"/>
        <v>121</v>
      </c>
    </row>
    <row r="3469" spans="74:74" x14ac:dyDescent="0.3">
      <c r="BV3469" s="32">
        <f t="shared" ref="BV3469:BV3532" ca="1" si="54">INT((TODAY()-$I3469)/365)</f>
        <v>121</v>
      </c>
    </row>
    <row r="3470" spans="74:74" x14ac:dyDescent="0.3">
      <c r="BV3470" s="32">
        <f t="shared" ca="1" si="54"/>
        <v>121</v>
      </c>
    </row>
    <row r="3471" spans="74:74" x14ac:dyDescent="0.3">
      <c r="BV3471" s="32">
        <f t="shared" ca="1" si="54"/>
        <v>121</v>
      </c>
    </row>
    <row r="3472" spans="74:74" x14ac:dyDescent="0.3">
      <c r="BV3472" s="32">
        <f t="shared" ca="1" si="54"/>
        <v>121</v>
      </c>
    </row>
    <row r="3473" spans="74:74" x14ac:dyDescent="0.3">
      <c r="BV3473" s="32">
        <f t="shared" ca="1" si="54"/>
        <v>121</v>
      </c>
    </row>
    <row r="3474" spans="74:74" x14ac:dyDescent="0.3">
      <c r="BV3474" s="32">
        <f t="shared" ca="1" si="54"/>
        <v>121</v>
      </c>
    </row>
    <row r="3475" spans="74:74" x14ac:dyDescent="0.3">
      <c r="BV3475" s="32">
        <f t="shared" ca="1" si="54"/>
        <v>121</v>
      </c>
    </row>
    <row r="3476" spans="74:74" x14ac:dyDescent="0.3">
      <c r="BV3476" s="32">
        <f t="shared" ca="1" si="54"/>
        <v>121</v>
      </c>
    </row>
    <row r="3477" spans="74:74" x14ac:dyDescent="0.3">
      <c r="BV3477" s="32">
        <f t="shared" ca="1" si="54"/>
        <v>121</v>
      </c>
    </row>
    <row r="3478" spans="74:74" x14ac:dyDescent="0.3">
      <c r="BV3478" s="32">
        <f t="shared" ca="1" si="54"/>
        <v>121</v>
      </c>
    </row>
    <row r="3479" spans="74:74" x14ac:dyDescent="0.3">
      <c r="BV3479" s="32">
        <f t="shared" ca="1" si="54"/>
        <v>121</v>
      </c>
    </row>
    <row r="3480" spans="74:74" x14ac:dyDescent="0.3">
      <c r="BV3480" s="32">
        <f t="shared" ca="1" si="54"/>
        <v>121</v>
      </c>
    </row>
    <row r="3481" spans="74:74" x14ac:dyDescent="0.3">
      <c r="BV3481" s="32">
        <f t="shared" ca="1" si="54"/>
        <v>121</v>
      </c>
    </row>
    <row r="3482" spans="74:74" x14ac:dyDescent="0.3">
      <c r="BV3482" s="32">
        <f t="shared" ca="1" si="54"/>
        <v>121</v>
      </c>
    </row>
    <row r="3483" spans="74:74" x14ac:dyDescent="0.3">
      <c r="BV3483" s="32">
        <f t="shared" ca="1" si="54"/>
        <v>121</v>
      </c>
    </row>
    <row r="3484" spans="74:74" x14ac:dyDescent="0.3">
      <c r="BV3484" s="32">
        <f t="shared" ca="1" si="54"/>
        <v>121</v>
      </c>
    </row>
    <row r="3485" spans="74:74" x14ac:dyDescent="0.3">
      <c r="BV3485" s="32">
        <f t="shared" ca="1" si="54"/>
        <v>121</v>
      </c>
    </row>
    <row r="3486" spans="74:74" x14ac:dyDescent="0.3">
      <c r="BV3486" s="32">
        <f t="shared" ca="1" si="54"/>
        <v>121</v>
      </c>
    </row>
    <row r="3487" spans="74:74" x14ac:dyDescent="0.3">
      <c r="BV3487" s="32">
        <f t="shared" ca="1" si="54"/>
        <v>121</v>
      </c>
    </row>
    <row r="3488" spans="74:74" x14ac:dyDescent="0.3">
      <c r="BV3488" s="32">
        <f t="shared" ca="1" si="54"/>
        <v>121</v>
      </c>
    </row>
    <row r="3489" spans="74:74" x14ac:dyDescent="0.3">
      <c r="BV3489" s="32">
        <f t="shared" ca="1" si="54"/>
        <v>121</v>
      </c>
    </row>
    <row r="3490" spans="74:74" x14ac:dyDescent="0.3">
      <c r="BV3490" s="32">
        <f t="shared" ca="1" si="54"/>
        <v>121</v>
      </c>
    </row>
    <row r="3491" spans="74:74" x14ac:dyDescent="0.3">
      <c r="BV3491" s="32">
        <f t="shared" ca="1" si="54"/>
        <v>121</v>
      </c>
    </row>
    <row r="3492" spans="74:74" x14ac:dyDescent="0.3">
      <c r="BV3492" s="32">
        <f t="shared" ca="1" si="54"/>
        <v>121</v>
      </c>
    </row>
    <row r="3493" spans="74:74" x14ac:dyDescent="0.3">
      <c r="BV3493" s="32">
        <f t="shared" ca="1" si="54"/>
        <v>121</v>
      </c>
    </row>
    <row r="3494" spans="74:74" x14ac:dyDescent="0.3">
      <c r="BV3494" s="32">
        <f t="shared" ca="1" si="54"/>
        <v>121</v>
      </c>
    </row>
    <row r="3495" spans="74:74" x14ac:dyDescent="0.3">
      <c r="BV3495" s="32">
        <f t="shared" ca="1" si="54"/>
        <v>121</v>
      </c>
    </row>
    <row r="3496" spans="74:74" x14ac:dyDescent="0.3">
      <c r="BV3496" s="32">
        <f t="shared" ca="1" si="54"/>
        <v>121</v>
      </c>
    </row>
    <row r="3497" spans="74:74" x14ac:dyDescent="0.3">
      <c r="BV3497" s="32">
        <f t="shared" ca="1" si="54"/>
        <v>121</v>
      </c>
    </row>
    <row r="3498" spans="74:74" x14ac:dyDescent="0.3">
      <c r="BV3498" s="32">
        <f t="shared" ca="1" si="54"/>
        <v>121</v>
      </c>
    </row>
    <row r="3499" spans="74:74" x14ac:dyDescent="0.3">
      <c r="BV3499" s="32">
        <f t="shared" ca="1" si="54"/>
        <v>121</v>
      </c>
    </row>
    <row r="3500" spans="74:74" x14ac:dyDescent="0.3">
      <c r="BV3500" s="32">
        <f t="shared" ca="1" si="54"/>
        <v>121</v>
      </c>
    </row>
    <row r="3501" spans="74:74" x14ac:dyDescent="0.3">
      <c r="BV3501" s="32">
        <f t="shared" ca="1" si="54"/>
        <v>121</v>
      </c>
    </row>
    <row r="3502" spans="74:74" x14ac:dyDescent="0.3">
      <c r="BV3502" s="32">
        <f t="shared" ca="1" si="54"/>
        <v>121</v>
      </c>
    </row>
    <row r="3503" spans="74:74" x14ac:dyDescent="0.3">
      <c r="BV3503" s="32">
        <f t="shared" ca="1" si="54"/>
        <v>121</v>
      </c>
    </row>
    <row r="3504" spans="74:74" x14ac:dyDescent="0.3">
      <c r="BV3504" s="32">
        <f t="shared" ca="1" si="54"/>
        <v>121</v>
      </c>
    </row>
    <row r="3505" spans="74:74" x14ac:dyDescent="0.3">
      <c r="BV3505" s="32">
        <f t="shared" ca="1" si="54"/>
        <v>121</v>
      </c>
    </row>
    <row r="3506" spans="74:74" x14ac:dyDescent="0.3">
      <c r="BV3506" s="32">
        <f t="shared" ca="1" si="54"/>
        <v>121</v>
      </c>
    </row>
    <row r="3507" spans="74:74" x14ac:dyDescent="0.3">
      <c r="BV3507" s="32">
        <f t="shared" ca="1" si="54"/>
        <v>121</v>
      </c>
    </row>
    <row r="3508" spans="74:74" x14ac:dyDescent="0.3">
      <c r="BV3508" s="32">
        <f t="shared" ca="1" si="54"/>
        <v>121</v>
      </c>
    </row>
    <row r="3509" spans="74:74" x14ac:dyDescent="0.3">
      <c r="BV3509" s="32">
        <f t="shared" ca="1" si="54"/>
        <v>121</v>
      </c>
    </row>
    <row r="3510" spans="74:74" x14ac:dyDescent="0.3">
      <c r="BV3510" s="32">
        <f t="shared" ca="1" si="54"/>
        <v>121</v>
      </c>
    </row>
    <row r="3511" spans="74:74" x14ac:dyDescent="0.3">
      <c r="BV3511" s="32">
        <f t="shared" ca="1" si="54"/>
        <v>121</v>
      </c>
    </row>
    <row r="3512" spans="74:74" x14ac:dyDescent="0.3">
      <c r="BV3512" s="32">
        <f t="shared" ca="1" si="54"/>
        <v>121</v>
      </c>
    </row>
    <row r="3513" spans="74:74" x14ac:dyDescent="0.3">
      <c r="BV3513" s="32">
        <f t="shared" ca="1" si="54"/>
        <v>121</v>
      </c>
    </row>
    <row r="3514" spans="74:74" x14ac:dyDescent="0.3">
      <c r="BV3514" s="32">
        <f t="shared" ca="1" si="54"/>
        <v>121</v>
      </c>
    </row>
    <row r="3515" spans="74:74" x14ac:dyDescent="0.3">
      <c r="BV3515" s="32">
        <f t="shared" ca="1" si="54"/>
        <v>121</v>
      </c>
    </row>
    <row r="3516" spans="74:74" x14ac:dyDescent="0.3">
      <c r="BV3516" s="32">
        <f t="shared" ca="1" si="54"/>
        <v>121</v>
      </c>
    </row>
    <row r="3517" spans="74:74" x14ac:dyDescent="0.3">
      <c r="BV3517" s="32">
        <f t="shared" ca="1" si="54"/>
        <v>121</v>
      </c>
    </row>
    <row r="3518" spans="74:74" x14ac:dyDescent="0.3">
      <c r="BV3518" s="32">
        <f t="shared" ca="1" si="54"/>
        <v>121</v>
      </c>
    </row>
    <row r="3519" spans="74:74" x14ac:dyDescent="0.3">
      <c r="BV3519" s="32">
        <f t="shared" ca="1" si="54"/>
        <v>121</v>
      </c>
    </row>
    <row r="3520" spans="74:74" x14ac:dyDescent="0.3">
      <c r="BV3520" s="32">
        <f t="shared" ca="1" si="54"/>
        <v>121</v>
      </c>
    </row>
    <row r="3521" spans="74:74" x14ac:dyDescent="0.3">
      <c r="BV3521" s="32">
        <f t="shared" ca="1" si="54"/>
        <v>121</v>
      </c>
    </row>
    <row r="3522" spans="74:74" x14ac:dyDescent="0.3">
      <c r="BV3522" s="32">
        <f t="shared" ca="1" si="54"/>
        <v>121</v>
      </c>
    </row>
    <row r="3523" spans="74:74" x14ac:dyDescent="0.3">
      <c r="BV3523" s="32">
        <f t="shared" ca="1" si="54"/>
        <v>121</v>
      </c>
    </row>
    <row r="3524" spans="74:74" x14ac:dyDescent="0.3">
      <c r="BV3524" s="32">
        <f t="shared" ca="1" si="54"/>
        <v>121</v>
      </c>
    </row>
    <row r="3525" spans="74:74" x14ac:dyDescent="0.3">
      <c r="BV3525" s="32">
        <f t="shared" ca="1" si="54"/>
        <v>121</v>
      </c>
    </row>
    <row r="3526" spans="74:74" x14ac:dyDescent="0.3">
      <c r="BV3526" s="32">
        <f t="shared" ca="1" si="54"/>
        <v>121</v>
      </c>
    </row>
    <row r="3527" spans="74:74" x14ac:dyDescent="0.3">
      <c r="BV3527" s="32">
        <f t="shared" ca="1" si="54"/>
        <v>121</v>
      </c>
    </row>
    <row r="3528" spans="74:74" x14ac:dyDescent="0.3">
      <c r="BV3528" s="32">
        <f t="shared" ca="1" si="54"/>
        <v>121</v>
      </c>
    </row>
    <row r="3529" spans="74:74" x14ac:dyDescent="0.3">
      <c r="BV3529" s="32">
        <f t="shared" ca="1" si="54"/>
        <v>121</v>
      </c>
    </row>
    <row r="3530" spans="74:74" x14ac:dyDescent="0.3">
      <c r="BV3530" s="32">
        <f t="shared" ca="1" si="54"/>
        <v>121</v>
      </c>
    </row>
    <row r="3531" spans="74:74" x14ac:dyDescent="0.3">
      <c r="BV3531" s="32">
        <f t="shared" ca="1" si="54"/>
        <v>121</v>
      </c>
    </row>
    <row r="3532" spans="74:74" x14ac:dyDescent="0.3">
      <c r="BV3532" s="32">
        <f t="shared" ca="1" si="54"/>
        <v>121</v>
      </c>
    </row>
    <row r="3533" spans="74:74" x14ac:dyDescent="0.3">
      <c r="BV3533" s="32">
        <f t="shared" ref="BV3533:BV3596" ca="1" si="55">INT((TODAY()-$I3533)/365)</f>
        <v>121</v>
      </c>
    </row>
    <row r="3534" spans="74:74" x14ac:dyDescent="0.3">
      <c r="BV3534" s="32">
        <f t="shared" ca="1" si="55"/>
        <v>121</v>
      </c>
    </row>
    <row r="3535" spans="74:74" x14ac:dyDescent="0.3">
      <c r="BV3535" s="32">
        <f t="shared" ca="1" si="55"/>
        <v>121</v>
      </c>
    </row>
    <row r="3536" spans="74:74" x14ac:dyDescent="0.3">
      <c r="BV3536" s="32">
        <f t="shared" ca="1" si="55"/>
        <v>121</v>
      </c>
    </row>
    <row r="3537" spans="74:74" x14ac:dyDescent="0.3">
      <c r="BV3537" s="32">
        <f t="shared" ca="1" si="55"/>
        <v>121</v>
      </c>
    </row>
    <row r="3538" spans="74:74" x14ac:dyDescent="0.3">
      <c r="BV3538" s="32">
        <f t="shared" ca="1" si="55"/>
        <v>121</v>
      </c>
    </row>
    <row r="3539" spans="74:74" x14ac:dyDescent="0.3">
      <c r="BV3539" s="32">
        <f t="shared" ca="1" si="55"/>
        <v>121</v>
      </c>
    </row>
    <row r="3540" spans="74:74" x14ac:dyDescent="0.3">
      <c r="BV3540" s="32">
        <f t="shared" ca="1" si="55"/>
        <v>121</v>
      </c>
    </row>
    <row r="3541" spans="74:74" x14ac:dyDescent="0.3">
      <c r="BV3541" s="32">
        <f t="shared" ca="1" si="55"/>
        <v>121</v>
      </c>
    </row>
    <row r="3542" spans="74:74" x14ac:dyDescent="0.3">
      <c r="BV3542" s="32">
        <f t="shared" ca="1" si="55"/>
        <v>121</v>
      </c>
    </row>
    <row r="3543" spans="74:74" x14ac:dyDescent="0.3">
      <c r="BV3543" s="32">
        <f t="shared" ca="1" si="55"/>
        <v>121</v>
      </c>
    </row>
    <row r="3544" spans="74:74" x14ac:dyDescent="0.3">
      <c r="BV3544" s="32">
        <f t="shared" ca="1" si="55"/>
        <v>121</v>
      </c>
    </row>
    <row r="3545" spans="74:74" x14ac:dyDescent="0.3">
      <c r="BV3545" s="32">
        <f t="shared" ca="1" si="55"/>
        <v>121</v>
      </c>
    </row>
    <row r="3546" spans="74:74" x14ac:dyDescent="0.3">
      <c r="BV3546" s="32">
        <f t="shared" ca="1" si="55"/>
        <v>121</v>
      </c>
    </row>
    <row r="3547" spans="74:74" x14ac:dyDescent="0.3">
      <c r="BV3547" s="32">
        <f t="shared" ca="1" si="55"/>
        <v>121</v>
      </c>
    </row>
    <row r="3548" spans="74:74" x14ac:dyDescent="0.3">
      <c r="BV3548" s="32">
        <f t="shared" ca="1" si="55"/>
        <v>121</v>
      </c>
    </row>
    <row r="3549" spans="74:74" x14ac:dyDescent="0.3">
      <c r="BV3549" s="32">
        <f t="shared" ca="1" si="55"/>
        <v>121</v>
      </c>
    </row>
    <row r="3550" spans="74:74" x14ac:dyDescent="0.3">
      <c r="BV3550" s="32">
        <f t="shared" ca="1" si="55"/>
        <v>121</v>
      </c>
    </row>
    <row r="3551" spans="74:74" x14ac:dyDescent="0.3">
      <c r="BV3551" s="32">
        <f t="shared" ca="1" si="55"/>
        <v>121</v>
      </c>
    </row>
    <row r="3552" spans="74:74" x14ac:dyDescent="0.3">
      <c r="BV3552" s="32">
        <f t="shared" ca="1" si="55"/>
        <v>121</v>
      </c>
    </row>
    <row r="3553" spans="74:74" x14ac:dyDescent="0.3">
      <c r="BV3553" s="32">
        <f t="shared" ca="1" si="55"/>
        <v>121</v>
      </c>
    </row>
    <row r="3554" spans="74:74" x14ac:dyDescent="0.3">
      <c r="BV3554" s="32">
        <f t="shared" ca="1" si="55"/>
        <v>121</v>
      </c>
    </row>
    <row r="3555" spans="74:74" x14ac:dyDescent="0.3">
      <c r="BV3555" s="32">
        <f t="shared" ca="1" si="55"/>
        <v>121</v>
      </c>
    </row>
    <row r="3556" spans="74:74" x14ac:dyDescent="0.3">
      <c r="BV3556" s="32">
        <f t="shared" ca="1" si="55"/>
        <v>121</v>
      </c>
    </row>
    <row r="3557" spans="74:74" x14ac:dyDescent="0.3">
      <c r="BV3557" s="32">
        <f t="shared" ca="1" si="55"/>
        <v>121</v>
      </c>
    </row>
    <row r="3558" spans="74:74" x14ac:dyDescent="0.3">
      <c r="BV3558" s="32">
        <f t="shared" ca="1" si="55"/>
        <v>121</v>
      </c>
    </row>
    <row r="3559" spans="74:74" x14ac:dyDescent="0.3">
      <c r="BV3559" s="32">
        <f t="shared" ca="1" si="55"/>
        <v>121</v>
      </c>
    </row>
    <row r="3560" spans="74:74" x14ac:dyDescent="0.3">
      <c r="BV3560" s="32">
        <f t="shared" ca="1" si="55"/>
        <v>121</v>
      </c>
    </row>
    <row r="3561" spans="74:74" x14ac:dyDescent="0.3">
      <c r="BV3561" s="32">
        <f t="shared" ca="1" si="55"/>
        <v>121</v>
      </c>
    </row>
    <row r="3562" spans="74:74" x14ac:dyDescent="0.3">
      <c r="BV3562" s="32">
        <f t="shared" ca="1" si="55"/>
        <v>121</v>
      </c>
    </row>
    <row r="3563" spans="74:74" x14ac:dyDescent="0.3">
      <c r="BV3563" s="32">
        <f t="shared" ca="1" si="55"/>
        <v>121</v>
      </c>
    </row>
    <row r="3564" spans="74:74" x14ac:dyDescent="0.3">
      <c r="BV3564" s="32">
        <f t="shared" ca="1" si="55"/>
        <v>121</v>
      </c>
    </row>
    <row r="3565" spans="74:74" x14ac:dyDescent="0.3">
      <c r="BV3565" s="32">
        <f t="shared" ca="1" si="55"/>
        <v>121</v>
      </c>
    </row>
    <row r="3566" spans="74:74" x14ac:dyDescent="0.3">
      <c r="BV3566" s="32">
        <f t="shared" ca="1" si="55"/>
        <v>121</v>
      </c>
    </row>
    <row r="3567" spans="74:74" x14ac:dyDescent="0.3">
      <c r="BV3567" s="32">
        <f t="shared" ca="1" si="55"/>
        <v>121</v>
      </c>
    </row>
    <row r="3568" spans="74:74" x14ac:dyDescent="0.3">
      <c r="BV3568" s="32">
        <f t="shared" ca="1" si="55"/>
        <v>121</v>
      </c>
    </row>
    <row r="3569" spans="74:74" x14ac:dyDescent="0.3">
      <c r="BV3569" s="32">
        <f t="shared" ca="1" si="55"/>
        <v>121</v>
      </c>
    </row>
    <row r="3570" spans="74:74" x14ac:dyDescent="0.3">
      <c r="BV3570" s="32">
        <f t="shared" ca="1" si="55"/>
        <v>121</v>
      </c>
    </row>
    <row r="3571" spans="74:74" x14ac:dyDescent="0.3">
      <c r="BV3571" s="32">
        <f t="shared" ca="1" si="55"/>
        <v>121</v>
      </c>
    </row>
    <row r="3572" spans="74:74" x14ac:dyDescent="0.3">
      <c r="BV3572" s="32">
        <f t="shared" ca="1" si="55"/>
        <v>121</v>
      </c>
    </row>
    <row r="3573" spans="74:74" x14ac:dyDescent="0.3">
      <c r="BV3573" s="32">
        <f t="shared" ca="1" si="55"/>
        <v>121</v>
      </c>
    </row>
    <row r="3574" spans="74:74" x14ac:dyDescent="0.3">
      <c r="BV3574" s="32">
        <f t="shared" ca="1" si="55"/>
        <v>121</v>
      </c>
    </row>
    <row r="3575" spans="74:74" x14ac:dyDescent="0.3">
      <c r="BV3575" s="32">
        <f t="shared" ca="1" si="55"/>
        <v>121</v>
      </c>
    </row>
    <row r="3576" spans="74:74" x14ac:dyDescent="0.3">
      <c r="BV3576" s="32">
        <f t="shared" ca="1" si="55"/>
        <v>121</v>
      </c>
    </row>
    <row r="3577" spans="74:74" x14ac:dyDescent="0.3">
      <c r="BV3577" s="32">
        <f t="shared" ca="1" si="55"/>
        <v>121</v>
      </c>
    </row>
    <row r="3578" spans="74:74" x14ac:dyDescent="0.3">
      <c r="BV3578" s="32">
        <f t="shared" ca="1" si="55"/>
        <v>121</v>
      </c>
    </row>
    <row r="3579" spans="74:74" x14ac:dyDescent="0.3">
      <c r="BV3579" s="32">
        <f t="shared" ca="1" si="55"/>
        <v>121</v>
      </c>
    </row>
    <row r="3580" spans="74:74" x14ac:dyDescent="0.3">
      <c r="BV3580" s="32">
        <f t="shared" ca="1" si="55"/>
        <v>121</v>
      </c>
    </row>
    <row r="3581" spans="74:74" x14ac:dyDescent="0.3">
      <c r="BV3581" s="32">
        <f t="shared" ca="1" si="55"/>
        <v>121</v>
      </c>
    </row>
    <row r="3582" spans="74:74" x14ac:dyDescent="0.3">
      <c r="BV3582" s="32">
        <f t="shared" ca="1" si="55"/>
        <v>121</v>
      </c>
    </row>
    <row r="3583" spans="74:74" x14ac:dyDescent="0.3">
      <c r="BV3583" s="32">
        <f t="shared" ca="1" si="55"/>
        <v>121</v>
      </c>
    </row>
    <row r="3584" spans="74:74" x14ac:dyDescent="0.3">
      <c r="BV3584" s="32">
        <f t="shared" ca="1" si="55"/>
        <v>121</v>
      </c>
    </row>
    <row r="3585" spans="74:74" x14ac:dyDescent="0.3">
      <c r="BV3585" s="32">
        <f t="shared" ca="1" si="55"/>
        <v>121</v>
      </c>
    </row>
    <row r="3586" spans="74:74" x14ac:dyDescent="0.3">
      <c r="BV3586" s="32">
        <f t="shared" ca="1" si="55"/>
        <v>121</v>
      </c>
    </row>
    <row r="3587" spans="74:74" x14ac:dyDescent="0.3">
      <c r="BV3587" s="32">
        <f t="shared" ca="1" si="55"/>
        <v>121</v>
      </c>
    </row>
    <row r="3588" spans="74:74" x14ac:dyDescent="0.3">
      <c r="BV3588" s="32">
        <f t="shared" ca="1" si="55"/>
        <v>121</v>
      </c>
    </row>
    <row r="3589" spans="74:74" x14ac:dyDescent="0.3">
      <c r="BV3589" s="32">
        <f t="shared" ca="1" si="55"/>
        <v>121</v>
      </c>
    </row>
    <row r="3590" spans="74:74" x14ac:dyDescent="0.3">
      <c r="BV3590" s="32">
        <f t="shared" ca="1" si="55"/>
        <v>121</v>
      </c>
    </row>
    <row r="3591" spans="74:74" x14ac:dyDescent="0.3">
      <c r="BV3591" s="32">
        <f t="shared" ca="1" si="55"/>
        <v>121</v>
      </c>
    </row>
    <row r="3592" spans="74:74" x14ac:dyDescent="0.3">
      <c r="BV3592" s="32">
        <f t="shared" ca="1" si="55"/>
        <v>121</v>
      </c>
    </row>
    <row r="3593" spans="74:74" x14ac:dyDescent="0.3">
      <c r="BV3593" s="32">
        <f t="shared" ca="1" si="55"/>
        <v>121</v>
      </c>
    </row>
    <row r="3594" spans="74:74" x14ac:dyDescent="0.3">
      <c r="BV3594" s="32">
        <f t="shared" ca="1" si="55"/>
        <v>121</v>
      </c>
    </row>
    <row r="3595" spans="74:74" x14ac:dyDescent="0.3">
      <c r="BV3595" s="32">
        <f t="shared" ca="1" si="55"/>
        <v>121</v>
      </c>
    </row>
    <row r="3596" spans="74:74" x14ac:dyDescent="0.3">
      <c r="BV3596" s="32">
        <f t="shared" ca="1" si="55"/>
        <v>121</v>
      </c>
    </row>
    <row r="3597" spans="74:74" x14ac:dyDescent="0.3">
      <c r="BV3597" s="32">
        <f t="shared" ref="BV3597:BV3660" ca="1" si="56">INT((TODAY()-$I3597)/365)</f>
        <v>121</v>
      </c>
    </row>
    <row r="3598" spans="74:74" x14ac:dyDescent="0.3">
      <c r="BV3598" s="32">
        <f t="shared" ca="1" si="56"/>
        <v>121</v>
      </c>
    </row>
    <row r="3599" spans="74:74" x14ac:dyDescent="0.3">
      <c r="BV3599" s="32">
        <f t="shared" ca="1" si="56"/>
        <v>121</v>
      </c>
    </row>
    <row r="3600" spans="74:74" x14ac:dyDescent="0.3">
      <c r="BV3600" s="32">
        <f t="shared" ca="1" si="56"/>
        <v>121</v>
      </c>
    </row>
    <row r="3601" spans="74:74" x14ac:dyDescent="0.3">
      <c r="BV3601" s="32">
        <f t="shared" ca="1" si="56"/>
        <v>121</v>
      </c>
    </row>
    <row r="3602" spans="74:74" x14ac:dyDescent="0.3">
      <c r="BV3602" s="32">
        <f t="shared" ca="1" si="56"/>
        <v>121</v>
      </c>
    </row>
    <row r="3603" spans="74:74" x14ac:dyDescent="0.3">
      <c r="BV3603" s="32">
        <f t="shared" ca="1" si="56"/>
        <v>121</v>
      </c>
    </row>
    <row r="3604" spans="74:74" x14ac:dyDescent="0.3">
      <c r="BV3604" s="32">
        <f t="shared" ca="1" si="56"/>
        <v>121</v>
      </c>
    </row>
    <row r="3605" spans="74:74" x14ac:dyDescent="0.3">
      <c r="BV3605" s="32">
        <f t="shared" ca="1" si="56"/>
        <v>121</v>
      </c>
    </row>
    <row r="3606" spans="74:74" x14ac:dyDescent="0.3">
      <c r="BV3606" s="32">
        <f t="shared" ca="1" si="56"/>
        <v>121</v>
      </c>
    </row>
    <row r="3607" spans="74:74" x14ac:dyDescent="0.3">
      <c r="BV3607" s="32">
        <f t="shared" ca="1" si="56"/>
        <v>121</v>
      </c>
    </row>
    <row r="3608" spans="74:74" x14ac:dyDescent="0.3">
      <c r="BV3608" s="32">
        <f t="shared" ca="1" si="56"/>
        <v>121</v>
      </c>
    </row>
    <row r="3609" spans="74:74" x14ac:dyDescent="0.3">
      <c r="BV3609" s="32">
        <f t="shared" ca="1" si="56"/>
        <v>121</v>
      </c>
    </row>
    <row r="3610" spans="74:74" x14ac:dyDescent="0.3">
      <c r="BV3610" s="32">
        <f t="shared" ca="1" si="56"/>
        <v>121</v>
      </c>
    </row>
    <row r="3611" spans="74:74" x14ac:dyDescent="0.3">
      <c r="BV3611" s="32">
        <f t="shared" ca="1" si="56"/>
        <v>121</v>
      </c>
    </row>
    <row r="3612" spans="74:74" x14ac:dyDescent="0.3">
      <c r="BV3612" s="32">
        <f t="shared" ca="1" si="56"/>
        <v>121</v>
      </c>
    </row>
    <row r="3613" spans="74:74" x14ac:dyDescent="0.3">
      <c r="BV3613" s="32">
        <f t="shared" ca="1" si="56"/>
        <v>121</v>
      </c>
    </row>
    <row r="3614" spans="74:74" x14ac:dyDescent="0.3">
      <c r="BV3614" s="32">
        <f t="shared" ca="1" si="56"/>
        <v>121</v>
      </c>
    </row>
    <row r="3615" spans="74:74" x14ac:dyDescent="0.3">
      <c r="BV3615" s="32">
        <f t="shared" ca="1" si="56"/>
        <v>121</v>
      </c>
    </row>
    <row r="3616" spans="74:74" x14ac:dyDescent="0.3">
      <c r="BV3616" s="32">
        <f t="shared" ca="1" si="56"/>
        <v>121</v>
      </c>
    </row>
    <row r="3617" spans="74:74" x14ac:dyDescent="0.3">
      <c r="BV3617" s="32">
        <f t="shared" ca="1" si="56"/>
        <v>121</v>
      </c>
    </row>
    <row r="3618" spans="74:74" x14ac:dyDescent="0.3">
      <c r="BV3618" s="32">
        <f t="shared" ca="1" si="56"/>
        <v>121</v>
      </c>
    </row>
    <row r="3619" spans="74:74" x14ac:dyDescent="0.3">
      <c r="BV3619" s="32">
        <f t="shared" ca="1" si="56"/>
        <v>121</v>
      </c>
    </row>
    <row r="3620" spans="74:74" x14ac:dyDescent="0.3">
      <c r="BV3620" s="32">
        <f t="shared" ca="1" si="56"/>
        <v>121</v>
      </c>
    </row>
    <row r="3621" spans="74:74" x14ac:dyDescent="0.3">
      <c r="BV3621" s="32">
        <f t="shared" ca="1" si="56"/>
        <v>121</v>
      </c>
    </row>
    <row r="3622" spans="74:74" x14ac:dyDescent="0.3">
      <c r="BV3622" s="32">
        <f t="shared" ca="1" si="56"/>
        <v>121</v>
      </c>
    </row>
    <row r="3623" spans="74:74" x14ac:dyDescent="0.3">
      <c r="BV3623" s="32">
        <f t="shared" ca="1" si="56"/>
        <v>121</v>
      </c>
    </row>
    <row r="3624" spans="74:74" x14ac:dyDescent="0.3">
      <c r="BV3624" s="32">
        <f t="shared" ca="1" si="56"/>
        <v>121</v>
      </c>
    </row>
    <row r="3625" spans="74:74" x14ac:dyDescent="0.3">
      <c r="BV3625" s="32">
        <f t="shared" ca="1" si="56"/>
        <v>121</v>
      </c>
    </row>
    <row r="3626" spans="74:74" x14ac:dyDescent="0.3">
      <c r="BV3626" s="32">
        <f t="shared" ca="1" si="56"/>
        <v>121</v>
      </c>
    </row>
    <row r="3627" spans="74:74" x14ac:dyDescent="0.3">
      <c r="BV3627" s="32">
        <f t="shared" ca="1" si="56"/>
        <v>121</v>
      </c>
    </row>
    <row r="3628" spans="74:74" x14ac:dyDescent="0.3">
      <c r="BV3628" s="32">
        <f t="shared" ca="1" si="56"/>
        <v>121</v>
      </c>
    </row>
    <row r="3629" spans="74:74" x14ac:dyDescent="0.3">
      <c r="BV3629" s="32">
        <f t="shared" ca="1" si="56"/>
        <v>121</v>
      </c>
    </row>
    <row r="3630" spans="74:74" x14ac:dyDescent="0.3">
      <c r="BV3630" s="32">
        <f t="shared" ca="1" si="56"/>
        <v>121</v>
      </c>
    </row>
    <row r="3631" spans="74:74" x14ac:dyDescent="0.3">
      <c r="BV3631" s="32">
        <f t="shared" ca="1" si="56"/>
        <v>121</v>
      </c>
    </row>
    <row r="3632" spans="74:74" x14ac:dyDescent="0.3">
      <c r="BV3632" s="32">
        <f t="shared" ca="1" si="56"/>
        <v>121</v>
      </c>
    </row>
    <row r="3633" spans="74:74" x14ac:dyDescent="0.3">
      <c r="BV3633" s="32">
        <f t="shared" ca="1" si="56"/>
        <v>121</v>
      </c>
    </row>
    <row r="3634" spans="74:74" x14ac:dyDescent="0.3">
      <c r="BV3634" s="32">
        <f t="shared" ca="1" si="56"/>
        <v>121</v>
      </c>
    </row>
    <row r="3635" spans="74:74" x14ac:dyDescent="0.3">
      <c r="BV3635" s="32">
        <f t="shared" ca="1" si="56"/>
        <v>121</v>
      </c>
    </row>
    <row r="3636" spans="74:74" x14ac:dyDescent="0.3">
      <c r="BV3636" s="32">
        <f t="shared" ca="1" si="56"/>
        <v>121</v>
      </c>
    </row>
    <row r="3637" spans="74:74" x14ac:dyDescent="0.3">
      <c r="BV3637" s="32">
        <f t="shared" ca="1" si="56"/>
        <v>121</v>
      </c>
    </row>
    <row r="3638" spans="74:74" x14ac:dyDescent="0.3">
      <c r="BV3638" s="32">
        <f t="shared" ca="1" si="56"/>
        <v>121</v>
      </c>
    </row>
    <row r="3639" spans="74:74" x14ac:dyDescent="0.3">
      <c r="BV3639" s="32">
        <f t="shared" ca="1" si="56"/>
        <v>121</v>
      </c>
    </row>
    <row r="3640" spans="74:74" x14ac:dyDescent="0.3">
      <c r="BV3640" s="32">
        <f t="shared" ca="1" si="56"/>
        <v>121</v>
      </c>
    </row>
    <row r="3641" spans="74:74" x14ac:dyDescent="0.3">
      <c r="BV3641" s="32">
        <f t="shared" ca="1" si="56"/>
        <v>121</v>
      </c>
    </row>
    <row r="3642" spans="74:74" x14ac:dyDescent="0.3">
      <c r="BV3642" s="32">
        <f t="shared" ca="1" si="56"/>
        <v>121</v>
      </c>
    </row>
    <row r="3643" spans="74:74" x14ac:dyDescent="0.3">
      <c r="BV3643" s="32">
        <f t="shared" ca="1" si="56"/>
        <v>121</v>
      </c>
    </row>
    <row r="3644" spans="74:74" x14ac:dyDescent="0.3">
      <c r="BV3644" s="32">
        <f t="shared" ca="1" si="56"/>
        <v>121</v>
      </c>
    </row>
    <row r="3645" spans="74:74" x14ac:dyDescent="0.3">
      <c r="BV3645" s="32">
        <f t="shared" ca="1" si="56"/>
        <v>121</v>
      </c>
    </row>
    <row r="3646" spans="74:74" x14ac:dyDescent="0.3">
      <c r="BV3646" s="32">
        <f t="shared" ca="1" si="56"/>
        <v>121</v>
      </c>
    </row>
    <row r="3647" spans="74:74" x14ac:dyDescent="0.3">
      <c r="BV3647" s="32">
        <f t="shared" ca="1" si="56"/>
        <v>121</v>
      </c>
    </row>
    <row r="3648" spans="74:74" x14ac:dyDescent="0.3">
      <c r="BV3648" s="32">
        <f t="shared" ca="1" si="56"/>
        <v>121</v>
      </c>
    </row>
    <row r="3649" spans="74:74" x14ac:dyDescent="0.3">
      <c r="BV3649" s="32">
        <f t="shared" ca="1" si="56"/>
        <v>121</v>
      </c>
    </row>
    <row r="3650" spans="74:74" x14ac:dyDescent="0.3">
      <c r="BV3650" s="32">
        <f t="shared" ca="1" si="56"/>
        <v>121</v>
      </c>
    </row>
    <row r="3651" spans="74:74" x14ac:dyDescent="0.3">
      <c r="BV3651" s="32">
        <f t="shared" ca="1" si="56"/>
        <v>121</v>
      </c>
    </row>
    <row r="3652" spans="74:74" x14ac:dyDescent="0.3">
      <c r="BV3652" s="32">
        <f t="shared" ca="1" si="56"/>
        <v>121</v>
      </c>
    </row>
    <row r="3653" spans="74:74" x14ac:dyDescent="0.3">
      <c r="BV3653" s="32">
        <f t="shared" ca="1" si="56"/>
        <v>121</v>
      </c>
    </row>
    <row r="3654" spans="74:74" x14ac:dyDescent="0.3">
      <c r="BV3654" s="32">
        <f t="shared" ca="1" si="56"/>
        <v>121</v>
      </c>
    </row>
    <row r="3655" spans="74:74" x14ac:dyDescent="0.3">
      <c r="BV3655" s="32">
        <f t="shared" ca="1" si="56"/>
        <v>121</v>
      </c>
    </row>
    <row r="3656" spans="74:74" x14ac:dyDescent="0.3">
      <c r="BV3656" s="32">
        <f t="shared" ca="1" si="56"/>
        <v>121</v>
      </c>
    </row>
    <row r="3657" spans="74:74" x14ac:dyDescent="0.3">
      <c r="BV3657" s="32">
        <f t="shared" ca="1" si="56"/>
        <v>121</v>
      </c>
    </row>
    <row r="3658" spans="74:74" x14ac:dyDescent="0.3">
      <c r="BV3658" s="32">
        <f t="shared" ca="1" si="56"/>
        <v>121</v>
      </c>
    </row>
    <row r="3659" spans="74:74" x14ac:dyDescent="0.3">
      <c r="BV3659" s="32">
        <f t="shared" ca="1" si="56"/>
        <v>121</v>
      </c>
    </row>
    <row r="3660" spans="74:74" x14ac:dyDescent="0.3">
      <c r="BV3660" s="32">
        <f t="shared" ca="1" si="56"/>
        <v>121</v>
      </c>
    </row>
    <row r="3661" spans="74:74" x14ac:dyDescent="0.3">
      <c r="BV3661" s="32">
        <f t="shared" ref="BV3661:BV3724" ca="1" si="57">INT((TODAY()-$I3661)/365)</f>
        <v>121</v>
      </c>
    </row>
    <row r="3662" spans="74:74" x14ac:dyDescent="0.3">
      <c r="BV3662" s="32">
        <f t="shared" ca="1" si="57"/>
        <v>121</v>
      </c>
    </row>
    <row r="3663" spans="74:74" x14ac:dyDescent="0.3">
      <c r="BV3663" s="32">
        <f t="shared" ca="1" si="57"/>
        <v>121</v>
      </c>
    </row>
    <row r="3664" spans="74:74" x14ac:dyDescent="0.3">
      <c r="BV3664" s="32">
        <f t="shared" ca="1" si="57"/>
        <v>121</v>
      </c>
    </row>
    <row r="3665" spans="74:74" x14ac:dyDescent="0.3">
      <c r="BV3665" s="32">
        <f t="shared" ca="1" si="57"/>
        <v>121</v>
      </c>
    </row>
    <row r="3666" spans="74:74" x14ac:dyDescent="0.3">
      <c r="BV3666" s="32">
        <f t="shared" ca="1" si="57"/>
        <v>121</v>
      </c>
    </row>
    <row r="3667" spans="74:74" x14ac:dyDescent="0.3">
      <c r="BV3667" s="32">
        <f t="shared" ca="1" si="57"/>
        <v>121</v>
      </c>
    </row>
    <row r="3668" spans="74:74" x14ac:dyDescent="0.3">
      <c r="BV3668" s="32">
        <f t="shared" ca="1" si="57"/>
        <v>121</v>
      </c>
    </row>
    <row r="3669" spans="74:74" x14ac:dyDescent="0.3">
      <c r="BV3669" s="32">
        <f t="shared" ca="1" si="57"/>
        <v>121</v>
      </c>
    </row>
    <row r="3670" spans="74:74" x14ac:dyDescent="0.3">
      <c r="BV3670" s="32">
        <f t="shared" ca="1" si="57"/>
        <v>121</v>
      </c>
    </row>
    <row r="3671" spans="74:74" x14ac:dyDescent="0.3">
      <c r="BV3671" s="32">
        <f t="shared" ca="1" si="57"/>
        <v>121</v>
      </c>
    </row>
    <row r="3672" spans="74:74" x14ac:dyDescent="0.3">
      <c r="BV3672" s="32">
        <f t="shared" ca="1" si="57"/>
        <v>121</v>
      </c>
    </row>
    <row r="3673" spans="74:74" x14ac:dyDescent="0.3">
      <c r="BV3673" s="32">
        <f t="shared" ca="1" si="57"/>
        <v>121</v>
      </c>
    </row>
    <row r="3674" spans="74:74" x14ac:dyDescent="0.3">
      <c r="BV3674" s="32">
        <f t="shared" ca="1" si="57"/>
        <v>121</v>
      </c>
    </row>
    <row r="3675" spans="74:74" x14ac:dyDescent="0.3">
      <c r="BV3675" s="32">
        <f t="shared" ca="1" si="57"/>
        <v>121</v>
      </c>
    </row>
    <row r="3676" spans="74:74" x14ac:dyDescent="0.3">
      <c r="BV3676" s="32">
        <f t="shared" ca="1" si="57"/>
        <v>121</v>
      </c>
    </row>
    <row r="3677" spans="74:74" x14ac:dyDescent="0.3">
      <c r="BV3677" s="32">
        <f t="shared" ca="1" si="57"/>
        <v>121</v>
      </c>
    </row>
    <row r="3678" spans="74:74" x14ac:dyDescent="0.3">
      <c r="BV3678" s="32">
        <f t="shared" ca="1" si="57"/>
        <v>121</v>
      </c>
    </row>
    <row r="3679" spans="74:74" x14ac:dyDescent="0.3">
      <c r="BV3679" s="32">
        <f t="shared" ca="1" si="57"/>
        <v>121</v>
      </c>
    </row>
    <row r="3680" spans="74:74" x14ac:dyDescent="0.3">
      <c r="BV3680" s="32">
        <f t="shared" ca="1" si="57"/>
        <v>121</v>
      </c>
    </row>
    <row r="3681" spans="74:74" x14ac:dyDescent="0.3">
      <c r="BV3681" s="32">
        <f t="shared" ca="1" si="57"/>
        <v>121</v>
      </c>
    </row>
    <row r="3682" spans="74:74" x14ac:dyDescent="0.3">
      <c r="BV3682" s="32">
        <f t="shared" ca="1" si="57"/>
        <v>121</v>
      </c>
    </row>
    <row r="3683" spans="74:74" x14ac:dyDescent="0.3">
      <c r="BV3683" s="32">
        <f t="shared" ca="1" si="57"/>
        <v>121</v>
      </c>
    </row>
    <row r="3684" spans="74:74" x14ac:dyDescent="0.3">
      <c r="BV3684" s="32">
        <f t="shared" ca="1" si="57"/>
        <v>121</v>
      </c>
    </row>
    <row r="3685" spans="74:74" x14ac:dyDescent="0.3">
      <c r="BV3685" s="32">
        <f t="shared" ca="1" si="57"/>
        <v>121</v>
      </c>
    </row>
    <row r="3686" spans="74:74" x14ac:dyDescent="0.3">
      <c r="BV3686" s="32">
        <f t="shared" ca="1" si="57"/>
        <v>121</v>
      </c>
    </row>
    <row r="3687" spans="74:74" x14ac:dyDescent="0.3">
      <c r="BV3687" s="32">
        <f t="shared" ca="1" si="57"/>
        <v>121</v>
      </c>
    </row>
    <row r="3688" spans="74:74" x14ac:dyDescent="0.3">
      <c r="BV3688" s="32">
        <f t="shared" ca="1" si="57"/>
        <v>121</v>
      </c>
    </row>
    <row r="3689" spans="74:74" x14ac:dyDescent="0.3">
      <c r="BV3689" s="32">
        <f t="shared" ca="1" si="57"/>
        <v>121</v>
      </c>
    </row>
    <row r="3690" spans="74:74" x14ac:dyDescent="0.3">
      <c r="BV3690" s="32">
        <f t="shared" ca="1" si="57"/>
        <v>121</v>
      </c>
    </row>
    <row r="3691" spans="74:74" x14ac:dyDescent="0.3">
      <c r="BV3691" s="32">
        <f t="shared" ca="1" si="57"/>
        <v>121</v>
      </c>
    </row>
    <row r="3692" spans="74:74" x14ac:dyDescent="0.3">
      <c r="BV3692" s="32">
        <f t="shared" ca="1" si="57"/>
        <v>121</v>
      </c>
    </row>
    <row r="3693" spans="74:74" x14ac:dyDescent="0.3">
      <c r="BV3693" s="32">
        <f t="shared" ca="1" si="57"/>
        <v>121</v>
      </c>
    </row>
    <row r="3694" spans="74:74" x14ac:dyDescent="0.3">
      <c r="BV3694" s="32">
        <f t="shared" ca="1" si="57"/>
        <v>121</v>
      </c>
    </row>
    <row r="3695" spans="74:74" x14ac:dyDescent="0.3">
      <c r="BV3695" s="32">
        <f t="shared" ca="1" si="57"/>
        <v>121</v>
      </c>
    </row>
    <row r="3696" spans="74:74" x14ac:dyDescent="0.3">
      <c r="BV3696" s="32">
        <f t="shared" ca="1" si="57"/>
        <v>121</v>
      </c>
    </row>
    <row r="3697" spans="74:74" x14ac:dyDescent="0.3">
      <c r="BV3697" s="32">
        <f t="shared" ca="1" si="57"/>
        <v>121</v>
      </c>
    </row>
    <row r="3698" spans="74:74" x14ac:dyDescent="0.3">
      <c r="BV3698" s="32">
        <f t="shared" ca="1" si="57"/>
        <v>121</v>
      </c>
    </row>
    <row r="3699" spans="74:74" x14ac:dyDescent="0.3">
      <c r="BV3699" s="32">
        <f t="shared" ca="1" si="57"/>
        <v>121</v>
      </c>
    </row>
    <row r="3700" spans="74:74" x14ac:dyDescent="0.3">
      <c r="BV3700" s="32">
        <f t="shared" ca="1" si="57"/>
        <v>121</v>
      </c>
    </row>
    <row r="3701" spans="74:74" x14ac:dyDescent="0.3">
      <c r="BV3701" s="32">
        <f t="shared" ca="1" si="57"/>
        <v>121</v>
      </c>
    </row>
    <row r="3702" spans="74:74" x14ac:dyDescent="0.3">
      <c r="BV3702" s="32">
        <f t="shared" ca="1" si="57"/>
        <v>121</v>
      </c>
    </row>
    <row r="3703" spans="74:74" x14ac:dyDescent="0.3">
      <c r="BV3703" s="32">
        <f t="shared" ca="1" si="57"/>
        <v>121</v>
      </c>
    </row>
    <row r="3704" spans="74:74" x14ac:dyDescent="0.3">
      <c r="BV3704" s="32">
        <f t="shared" ca="1" si="57"/>
        <v>121</v>
      </c>
    </row>
    <row r="3705" spans="74:74" x14ac:dyDescent="0.3">
      <c r="BV3705" s="32">
        <f t="shared" ca="1" si="57"/>
        <v>121</v>
      </c>
    </row>
    <row r="3706" spans="74:74" x14ac:dyDescent="0.3">
      <c r="BV3706" s="32">
        <f t="shared" ca="1" si="57"/>
        <v>121</v>
      </c>
    </row>
    <row r="3707" spans="74:74" x14ac:dyDescent="0.3">
      <c r="BV3707" s="32">
        <f t="shared" ca="1" si="57"/>
        <v>121</v>
      </c>
    </row>
    <row r="3708" spans="74:74" x14ac:dyDescent="0.3">
      <c r="BV3708" s="32">
        <f t="shared" ca="1" si="57"/>
        <v>121</v>
      </c>
    </row>
    <row r="3709" spans="74:74" x14ac:dyDescent="0.3">
      <c r="BV3709" s="32">
        <f t="shared" ca="1" si="57"/>
        <v>121</v>
      </c>
    </row>
    <row r="3710" spans="74:74" x14ac:dyDescent="0.3">
      <c r="BV3710" s="32">
        <f t="shared" ca="1" si="57"/>
        <v>121</v>
      </c>
    </row>
    <row r="3711" spans="74:74" x14ac:dyDescent="0.3">
      <c r="BV3711" s="32">
        <f t="shared" ca="1" si="57"/>
        <v>121</v>
      </c>
    </row>
    <row r="3712" spans="74:74" x14ac:dyDescent="0.3">
      <c r="BV3712" s="32">
        <f t="shared" ca="1" si="57"/>
        <v>121</v>
      </c>
    </row>
    <row r="3713" spans="74:74" x14ac:dyDescent="0.3">
      <c r="BV3713" s="32">
        <f t="shared" ca="1" si="57"/>
        <v>121</v>
      </c>
    </row>
    <row r="3714" spans="74:74" x14ac:dyDescent="0.3">
      <c r="BV3714" s="32">
        <f t="shared" ca="1" si="57"/>
        <v>121</v>
      </c>
    </row>
    <row r="3715" spans="74:74" x14ac:dyDescent="0.3">
      <c r="BV3715" s="32">
        <f t="shared" ca="1" si="57"/>
        <v>121</v>
      </c>
    </row>
    <row r="3716" spans="74:74" x14ac:dyDescent="0.3">
      <c r="BV3716" s="32">
        <f t="shared" ca="1" si="57"/>
        <v>121</v>
      </c>
    </row>
    <row r="3717" spans="74:74" x14ac:dyDescent="0.3">
      <c r="BV3717" s="32">
        <f t="shared" ca="1" si="57"/>
        <v>121</v>
      </c>
    </row>
    <row r="3718" spans="74:74" x14ac:dyDescent="0.3">
      <c r="BV3718" s="32">
        <f t="shared" ca="1" si="57"/>
        <v>121</v>
      </c>
    </row>
    <row r="3719" spans="74:74" x14ac:dyDescent="0.3">
      <c r="BV3719" s="32">
        <f t="shared" ca="1" si="57"/>
        <v>121</v>
      </c>
    </row>
    <row r="3720" spans="74:74" x14ac:dyDescent="0.3">
      <c r="BV3720" s="32">
        <f t="shared" ca="1" si="57"/>
        <v>121</v>
      </c>
    </row>
    <row r="3721" spans="74:74" x14ac:dyDescent="0.3">
      <c r="BV3721" s="32">
        <f t="shared" ca="1" si="57"/>
        <v>121</v>
      </c>
    </row>
    <row r="3722" spans="74:74" x14ac:dyDescent="0.3">
      <c r="BV3722" s="32">
        <f t="shared" ca="1" si="57"/>
        <v>121</v>
      </c>
    </row>
    <row r="3723" spans="74:74" x14ac:dyDescent="0.3">
      <c r="BV3723" s="32">
        <f t="shared" ca="1" si="57"/>
        <v>121</v>
      </c>
    </row>
    <row r="3724" spans="74:74" x14ac:dyDescent="0.3">
      <c r="BV3724" s="32">
        <f t="shared" ca="1" si="57"/>
        <v>121</v>
      </c>
    </row>
    <row r="3725" spans="74:74" x14ac:dyDescent="0.3">
      <c r="BV3725" s="32">
        <f t="shared" ref="BV3725:BV3788" ca="1" si="58">INT((TODAY()-$I3725)/365)</f>
        <v>121</v>
      </c>
    </row>
    <row r="3726" spans="74:74" x14ac:dyDescent="0.3">
      <c r="BV3726" s="32">
        <f t="shared" ca="1" si="58"/>
        <v>121</v>
      </c>
    </row>
    <row r="3727" spans="74:74" x14ac:dyDescent="0.3">
      <c r="BV3727" s="32">
        <f t="shared" ca="1" si="58"/>
        <v>121</v>
      </c>
    </row>
    <row r="3728" spans="74:74" x14ac:dyDescent="0.3">
      <c r="BV3728" s="32">
        <f t="shared" ca="1" si="58"/>
        <v>121</v>
      </c>
    </row>
    <row r="3729" spans="74:74" x14ac:dyDescent="0.3">
      <c r="BV3729" s="32">
        <f t="shared" ca="1" si="58"/>
        <v>121</v>
      </c>
    </row>
    <row r="3730" spans="74:74" x14ac:dyDescent="0.3">
      <c r="BV3730" s="32">
        <f t="shared" ca="1" si="58"/>
        <v>121</v>
      </c>
    </row>
    <row r="3731" spans="74:74" x14ac:dyDescent="0.3">
      <c r="BV3731" s="32">
        <f t="shared" ca="1" si="58"/>
        <v>121</v>
      </c>
    </row>
    <row r="3732" spans="74:74" x14ac:dyDescent="0.3">
      <c r="BV3732" s="32">
        <f t="shared" ca="1" si="58"/>
        <v>121</v>
      </c>
    </row>
    <row r="3733" spans="74:74" x14ac:dyDescent="0.3">
      <c r="BV3733" s="32">
        <f t="shared" ca="1" si="58"/>
        <v>121</v>
      </c>
    </row>
    <row r="3734" spans="74:74" x14ac:dyDescent="0.3">
      <c r="BV3734" s="32">
        <f t="shared" ca="1" si="58"/>
        <v>121</v>
      </c>
    </row>
    <row r="3735" spans="74:74" x14ac:dyDescent="0.3">
      <c r="BV3735" s="32">
        <f t="shared" ca="1" si="58"/>
        <v>121</v>
      </c>
    </row>
    <row r="3736" spans="74:74" x14ac:dyDescent="0.3">
      <c r="BV3736" s="32">
        <f t="shared" ca="1" si="58"/>
        <v>121</v>
      </c>
    </row>
    <row r="3737" spans="74:74" x14ac:dyDescent="0.3">
      <c r="BV3737" s="32">
        <f t="shared" ca="1" si="58"/>
        <v>121</v>
      </c>
    </row>
    <row r="3738" spans="74:74" x14ac:dyDescent="0.3">
      <c r="BV3738" s="32">
        <f t="shared" ca="1" si="58"/>
        <v>121</v>
      </c>
    </row>
    <row r="3739" spans="74:74" x14ac:dyDescent="0.3">
      <c r="BV3739" s="32">
        <f t="shared" ca="1" si="58"/>
        <v>121</v>
      </c>
    </row>
    <row r="3740" spans="74:74" x14ac:dyDescent="0.3">
      <c r="BV3740" s="32">
        <f t="shared" ca="1" si="58"/>
        <v>121</v>
      </c>
    </row>
    <row r="3741" spans="74:74" x14ac:dyDescent="0.3">
      <c r="BV3741" s="32">
        <f t="shared" ca="1" si="58"/>
        <v>121</v>
      </c>
    </row>
    <row r="3742" spans="74:74" x14ac:dyDescent="0.3">
      <c r="BV3742" s="32">
        <f t="shared" ca="1" si="58"/>
        <v>121</v>
      </c>
    </row>
    <row r="3743" spans="74:74" x14ac:dyDescent="0.3">
      <c r="BV3743" s="32">
        <f t="shared" ca="1" si="58"/>
        <v>121</v>
      </c>
    </row>
    <row r="3744" spans="74:74" x14ac:dyDescent="0.3">
      <c r="BV3744" s="32">
        <f t="shared" ca="1" si="58"/>
        <v>121</v>
      </c>
    </row>
    <row r="3745" spans="74:74" x14ac:dyDescent="0.3">
      <c r="BV3745" s="32">
        <f t="shared" ca="1" si="58"/>
        <v>121</v>
      </c>
    </row>
    <row r="3746" spans="74:74" x14ac:dyDescent="0.3">
      <c r="BV3746" s="32">
        <f t="shared" ca="1" si="58"/>
        <v>121</v>
      </c>
    </row>
    <row r="3747" spans="74:74" x14ac:dyDescent="0.3">
      <c r="BV3747" s="32">
        <f t="shared" ca="1" si="58"/>
        <v>121</v>
      </c>
    </row>
    <row r="3748" spans="74:74" x14ac:dyDescent="0.3">
      <c r="BV3748" s="32">
        <f t="shared" ca="1" si="58"/>
        <v>121</v>
      </c>
    </row>
    <row r="3749" spans="74:74" x14ac:dyDescent="0.3">
      <c r="BV3749" s="32">
        <f t="shared" ca="1" si="58"/>
        <v>121</v>
      </c>
    </row>
    <row r="3750" spans="74:74" x14ac:dyDescent="0.3">
      <c r="BV3750" s="32">
        <f t="shared" ca="1" si="58"/>
        <v>121</v>
      </c>
    </row>
    <row r="3751" spans="74:74" x14ac:dyDescent="0.3">
      <c r="BV3751" s="32">
        <f t="shared" ca="1" si="58"/>
        <v>121</v>
      </c>
    </row>
    <row r="3752" spans="74:74" x14ac:dyDescent="0.3">
      <c r="BV3752" s="32">
        <f t="shared" ca="1" si="58"/>
        <v>121</v>
      </c>
    </row>
    <row r="3753" spans="74:74" x14ac:dyDescent="0.3">
      <c r="BV3753" s="32">
        <f t="shared" ca="1" si="58"/>
        <v>121</v>
      </c>
    </row>
    <row r="3754" spans="74:74" x14ac:dyDescent="0.3">
      <c r="BV3754" s="32">
        <f t="shared" ca="1" si="58"/>
        <v>121</v>
      </c>
    </row>
    <row r="3755" spans="74:74" x14ac:dyDescent="0.3">
      <c r="BV3755" s="32">
        <f t="shared" ca="1" si="58"/>
        <v>121</v>
      </c>
    </row>
    <row r="3756" spans="74:74" x14ac:dyDescent="0.3">
      <c r="BV3756" s="32">
        <f t="shared" ca="1" si="58"/>
        <v>121</v>
      </c>
    </row>
    <row r="3757" spans="74:74" x14ac:dyDescent="0.3">
      <c r="BV3757" s="32">
        <f t="shared" ca="1" si="58"/>
        <v>121</v>
      </c>
    </row>
    <row r="3758" spans="74:74" x14ac:dyDescent="0.3">
      <c r="BV3758" s="32">
        <f t="shared" ca="1" si="58"/>
        <v>121</v>
      </c>
    </row>
    <row r="3759" spans="74:74" x14ac:dyDescent="0.3">
      <c r="BV3759" s="32">
        <f t="shared" ca="1" si="58"/>
        <v>121</v>
      </c>
    </row>
    <row r="3760" spans="74:74" x14ac:dyDescent="0.3">
      <c r="BV3760" s="32">
        <f t="shared" ca="1" si="58"/>
        <v>121</v>
      </c>
    </row>
    <row r="3761" spans="74:74" x14ac:dyDescent="0.3">
      <c r="BV3761" s="32">
        <f t="shared" ca="1" si="58"/>
        <v>121</v>
      </c>
    </row>
    <row r="3762" spans="74:74" x14ac:dyDescent="0.3">
      <c r="BV3762" s="32">
        <f t="shared" ca="1" si="58"/>
        <v>121</v>
      </c>
    </row>
    <row r="3763" spans="74:74" x14ac:dyDescent="0.3">
      <c r="BV3763" s="32">
        <f t="shared" ca="1" si="58"/>
        <v>121</v>
      </c>
    </row>
    <row r="3764" spans="74:74" x14ac:dyDescent="0.3">
      <c r="BV3764" s="32">
        <f t="shared" ca="1" si="58"/>
        <v>121</v>
      </c>
    </row>
    <row r="3765" spans="74:74" x14ac:dyDescent="0.3">
      <c r="BV3765" s="32">
        <f t="shared" ca="1" si="58"/>
        <v>121</v>
      </c>
    </row>
    <row r="3766" spans="74:74" x14ac:dyDescent="0.3">
      <c r="BV3766" s="32">
        <f t="shared" ca="1" si="58"/>
        <v>121</v>
      </c>
    </row>
    <row r="3767" spans="74:74" x14ac:dyDescent="0.3">
      <c r="BV3767" s="32">
        <f t="shared" ca="1" si="58"/>
        <v>121</v>
      </c>
    </row>
    <row r="3768" spans="74:74" x14ac:dyDescent="0.3">
      <c r="BV3768" s="32">
        <f t="shared" ca="1" si="58"/>
        <v>121</v>
      </c>
    </row>
    <row r="3769" spans="74:74" x14ac:dyDescent="0.3">
      <c r="BV3769" s="32">
        <f t="shared" ca="1" si="58"/>
        <v>121</v>
      </c>
    </row>
    <row r="3770" spans="74:74" x14ac:dyDescent="0.3">
      <c r="BV3770" s="32">
        <f t="shared" ca="1" si="58"/>
        <v>121</v>
      </c>
    </row>
    <row r="3771" spans="74:74" x14ac:dyDescent="0.3">
      <c r="BV3771" s="32">
        <f t="shared" ca="1" si="58"/>
        <v>121</v>
      </c>
    </row>
    <row r="3772" spans="74:74" x14ac:dyDescent="0.3">
      <c r="BV3772" s="32">
        <f t="shared" ca="1" si="58"/>
        <v>121</v>
      </c>
    </row>
    <row r="3773" spans="74:74" x14ac:dyDescent="0.3">
      <c r="BV3773" s="32">
        <f t="shared" ca="1" si="58"/>
        <v>121</v>
      </c>
    </row>
    <row r="3774" spans="74:74" x14ac:dyDescent="0.3">
      <c r="BV3774" s="32">
        <f t="shared" ca="1" si="58"/>
        <v>121</v>
      </c>
    </row>
    <row r="3775" spans="74:74" x14ac:dyDescent="0.3">
      <c r="BV3775" s="32">
        <f t="shared" ca="1" si="58"/>
        <v>121</v>
      </c>
    </row>
    <row r="3776" spans="74:74" x14ac:dyDescent="0.3">
      <c r="BV3776" s="32">
        <f t="shared" ca="1" si="58"/>
        <v>121</v>
      </c>
    </row>
    <row r="3777" spans="74:74" x14ac:dyDescent="0.3">
      <c r="BV3777" s="32">
        <f t="shared" ca="1" si="58"/>
        <v>121</v>
      </c>
    </row>
    <row r="3778" spans="74:74" x14ac:dyDescent="0.3">
      <c r="BV3778" s="32">
        <f t="shared" ca="1" si="58"/>
        <v>121</v>
      </c>
    </row>
    <row r="3779" spans="74:74" x14ac:dyDescent="0.3">
      <c r="BV3779" s="32">
        <f t="shared" ca="1" si="58"/>
        <v>121</v>
      </c>
    </row>
    <row r="3780" spans="74:74" x14ac:dyDescent="0.3">
      <c r="BV3780" s="32">
        <f t="shared" ca="1" si="58"/>
        <v>121</v>
      </c>
    </row>
    <row r="3781" spans="74:74" x14ac:dyDescent="0.3">
      <c r="BV3781" s="32">
        <f t="shared" ca="1" si="58"/>
        <v>121</v>
      </c>
    </row>
    <row r="3782" spans="74:74" x14ac:dyDescent="0.3">
      <c r="BV3782" s="32">
        <f t="shared" ca="1" si="58"/>
        <v>121</v>
      </c>
    </row>
    <row r="3783" spans="74:74" x14ac:dyDescent="0.3">
      <c r="BV3783" s="32">
        <f t="shared" ca="1" si="58"/>
        <v>121</v>
      </c>
    </row>
    <row r="3784" spans="74:74" x14ac:dyDescent="0.3">
      <c r="BV3784" s="32">
        <f t="shared" ca="1" si="58"/>
        <v>121</v>
      </c>
    </row>
    <row r="3785" spans="74:74" x14ac:dyDescent="0.3">
      <c r="BV3785" s="32">
        <f t="shared" ca="1" si="58"/>
        <v>121</v>
      </c>
    </row>
    <row r="3786" spans="74:74" x14ac:dyDescent="0.3">
      <c r="BV3786" s="32">
        <f t="shared" ca="1" si="58"/>
        <v>121</v>
      </c>
    </row>
    <row r="3787" spans="74:74" x14ac:dyDescent="0.3">
      <c r="BV3787" s="32">
        <f t="shared" ca="1" si="58"/>
        <v>121</v>
      </c>
    </row>
    <row r="3788" spans="74:74" x14ac:dyDescent="0.3">
      <c r="BV3788" s="32">
        <f t="shared" ca="1" si="58"/>
        <v>121</v>
      </c>
    </row>
    <row r="3789" spans="74:74" x14ac:dyDescent="0.3">
      <c r="BV3789" s="32">
        <f t="shared" ref="BV3789:BV3852" ca="1" si="59">INT((TODAY()-$I3789)/365)</f>
        <v>121</v>
      </c>
    </row>
    <row r="3790" spans="74:74" x14ac:dyDescent="0.3">
      <c r="BV3790" s="32">
        <f t="shared" ca="1" si="59"/>
        <v>121</v>
      </c>
    </row>
    <row r="3791" spans="74:74" x14ac:dyDescent="0.3">
      <c r="BV3791" s="32">
        <f t="shared" ca="1" si="59"/>
        <v>121</v>
      </c>
    </row>
    <row r="3792" spans="74:74" x14ac:dyDescent="0.3">
      <c r="BV3792" s="32">
        <f t="shared" ca="1" si="59"/>
        <v>121</v>
      </c>
    </row>
    <row r="3793" spans="74:74" x14ac:dyDescent="0.3">
      <c r="BV3793" s="32">
        <f t="shared" ca="1" si="59"/>
        <v>121</v>
      </c>
    </row>
    <row r="3794" spans="74:74" x14ac:dyDescent="0.3">
      <c r="BV3794" s="32">
        <f t="shared" ca="1" si="59"/>
        <v>121</v>
      </c>
    </row>
    <row r="3795" spans="74:74" x14ac:dyDescent="0.3">
      <c r="BV3795" s="32">
        <f t="shared" ca="1" si="59"/>
        <v>121</v>
      </c>
    </row>
    <row r="3796" spans="74:74" x14ac:dyDescent="0.3">
      <c r="BV3796" s="32">
        <f t="shared" ca="1" si="59"/>
        <v>121</v>
      </c>
    </row>
    <row r="3797" spans="74:74" x14ac:dyDescent="0.3">
      <c r="BV3797" s="32">
        <f t="shared" ca="1" si="59"/>
        <v>121</v>
      </c>
    </row>
    <row r="3798" spans="74:74" x14ac:dyDescent="0.3">
      <c r="BV3798" s="32">
        <f t="shared" ca="1" si="59"/>
        <v>121</v>
      </c>
    </row>
    <row r="3799" spans="74:74" x14ac:dyDescent="0.3">
      <c r="BV3799" s="32">
        <f t="shared" ca="1" si="59"/>
        <v>121</v>
      </c>
    </row>
    <row r="3800" spans="74:74" x14ac:dyDescent="0.3">
      <c r="BV3800" s="32">
        <f t="shared" ca="1" si="59"/>
        <v>121</v>
      </c>
    </row>
    <row r="3801" spans="74:74" x14ac:dyDescent="0.3">
      <c r="BV3801" s="32">
        <f t="shared" ca="1" si="59"/>
        <v>121</v>
      </c>
    </row>
    <row r="3802" spans="74:74" x14ac:dyDescent="0.3">
      <c r="BV3802" s="32">
        <f t="shared" ca="1" si="59"/>
        <v>121</v>
      </c>
    </row>
    <row r="3803" spans="74:74" x14ac:dyDescent="0.3">
      <c r="BV3803" s="32">
        <f t="shared" ca="1" si="59"/>
        <v>121</v>
      </c>
    </row>
    <row r="3804" spans="74:74" x14ac:dyDescent="0.3">
      <c r="BV3804" s="32">
        <f t="shared" ca="1" si="59"/>
        <v>121</v>
      </c>
    </row>
    <row r="3805" spans="74:74" x14ac:dyDescent="0.3">
      <c r="BV3805" s="32">
        <f t="shared" ca="1" si="59"/>
        <v>121</v>
      </c>
    </row>
    <row r="3806" spans="74:74" x14ac:dyDescent="0.3">
      <c r="BV3806" s="32">
        <f t="shared" ca="1" si="59"/>
        <v>121</v>
      </c>
    </row>
    <row r="3807" spans="74:74" x14ac:dyDescent="0.3">
      <c r="BV3807" s="32">
        <f t="shared" ca="1" si="59"/>
        <v>121</v>
      </c>
    </row>
    <row r="3808" spans="74:74" x14ac:dyDescent="0.3">
      <c r="BV3808" s="32">
        <f t="shared" ca="1" si="59"/>
        <v>121</v>
      </c>
    </row>
    <row r="3809" spans="74:74" x14ac:dyDescent="0.3">
      <c r="BV3809" s="32">
        <f t="shared" ca="1" si="59"/>
        <v>121</v>
      </c>
    </row>
    <row r="3810" spans="74:74" x14ac:dyDescent="0.3">
      <c r="BV3810" s="32">
        <f t="shared" ca="1" si="59"/>
        <v>121</v>
      </c>
    </row>
    <row r="3811" spans="74:74" x14ac:dyDescent="0.3">
      <c r="BV3811" s="32">
        <f t="shared" ca="1" si="59"/>
        <v>121</v>
      </c>
    </row>
    <row r="3812" spans="74:74" x14ac:dyDescent="0.3">
      <c r="BV3812" s="32">
        <f t="shared" ca="1" si="59"/>
        <v>121</v>
      </c>
    </row>
    <row r="3813" spans="74:74" x14ac:dyDescent="0.3">
      <c r="BV3813" s="32">
        <f t="shared" ca="1" si="59"/>
        <v>121</v>
      </c>
    </row>
    <row r="3814" spans="74:74" x14ac:dyDescent="0.3">
      <c r="BV3814" s="32">
        <f t="shared" ca="1" si="59"/>
        <v>121</v>
      </c>
    </row>
    <row r="3815" spans="74:74" x14ac:dyDescent="0.3">
      <c r="BV3815" s="32">
        <f t="shared" ca="1" si="59"/>
        <v>121</v>
      </c>
    </row>
    <row r="3816" spans="74:74" x14ac:dyDescent="0.3">
      <c r="BV3816" s="32">
        <f t="shared" ca="1" si="59"/>
        <v>121</v>
      </c>
    </row>
    <row r="3817" spans="74:74" x14ac:dyDescent="0.3">
      <c r="BV3817" s="32">
        <f t="shared" ca="1" si="59"/>
        <v>121</v>
      </c>
    </row>
    <row r="3818" spans="74:74" x14ac:dyDescent="0.3">
      <c r="BV3818" s="32">
        <f t="shared" ca="1" si="59"/>
        <v>121</v>
      </c>
    </row>
    <row r="3819" spans="74:74" x14ac:dyDescent="0.3">
      <c r="BV3819" s="32">
        <f t="shared" ca="1" si="59"/>
        <v>121</v>
      </c>
    </row>
    <row r="3820" spans="74:74" x14ac:dyDescent="0.3">
      <c r="BV3820" s="32">
        <f t="shared" ca="1" si="59"/>
        <v>121</v>
      </c>
    </row>
    <row r="3821" spans="74:74" x14ac:dyDescent="0.3">
      <c r="BV3821" s="32">
        <f t="shared" ca="1" si="59"/>
        <v>121</v>
      </c>
    </row>
    <row r="3822" spans="74:74" x14ac:dyDescent="0.3">
      <c r="BV3822" s="32">
        <f t="shared" ca="1" si="59"/>
        <v>121</v>
      </c>
    </row>
    <row r="3823" spans="74:74" x14ac:dyDescent="0.3">
      <c r="BV3823" s="32">
        <f t="shared" ca="1" si="59"/>
        <v>121</v>
      </c>
    </row>
    <row r="3824" spans="74:74" x14ac:dyDescent="0.3">
      <c r="BV3824" s="32">
        <f t="shared" ca="1" si="59"/>
        <v>121</v>
      </c>
    </row>
    <row r="3825" spans="74:74" x14ac:dyDescent="0.3">
      <c r="BV3825" s="32">
        <f t="shared" ca="1" si="59"/>
        <v>121</v>
      </c>
    </row>
    <row r="3826" spans="74:74" x14ac:dyDescent="0.3">
      <c r="BV3826" s="32">
        <f t="shared" ca="1" si="59"/>
        <v>121</v>
      </c>
    </row>
    <row r="3827" spans="74:74" x14ac:dyDescent="0.3">
      <c r="BV3827" s="32">
        <f t="shared" ca="1" si="59"/>
        <v>121</v>
      </c>
    </row>
    <row r="3828" spans="74:74" x14ac:dyDescent="0.3">
      <c r="BV3828" s="32">
        <f t="shared" ca="1" si="59"/>
        <v>121</v>
      </c>
    </row>
    <row r="3829" spans="74:74" x14ac:dyDescent="0.3">
      <c r="BV3829" s="32">
        <f t="shared" ca="1" si="59"/>
        <v>121</v>
      </c>
    </row>
    <row r="3830" spans="74:74" x14ac:dyDescent="0.3">
      <c r="BV3830" s="32">
        <f t="shared" ca="1" si="59"/>
        <v>121</v>
      </c>
    </row>
    <row r="3831" spans="74:74" x14ac:dyDescent="0.3">
      <c r="BV3831" s="32">
        <f t="shared" ca="1" si="59"/>
        <v>121</v>
      </c>
    </row>
    <row r="3832" spans="74:74" x14ac:dyDescent="0.3">
      <c r="BV3832" s="32">
        <f t="shared" ca="1" si="59"/>
        <v>121</v>
      </c>
    </row>
    <row r="3833" spans="74:74" x14ac:dyDescent="0.3">
      <c r="BV3833" s="32">
        <f t="shared" ca="1" si="59"/>
        <v>121</v>
      </c>
    </row>
    <row r="3834" spans="74:74" x14ac:dyDescent="0.3">
      <c r="BV3834" s="32">
        <f t="shared" ca="1" si="59"/>
        <v>121</v>
      </c>
    </row>
    <row r="3835" spans="74:74" x14ac:dyDescent="0.3">
      <c r="BV3835" s="32">
        <f t="shared" ca="1" si="59"/>
        <v>121</v>
      </c>
    </row>
    <row r="3836" spans="74:74" x14ac:dyDescent="0.3">
      <c r="BV3836" s="32">
        <f t="shared" ca="1" si="59"/>
        <v>121</v>
      </c>
    </row>
    <row r="3837" spans="74:74" x14ac:dyDescent="0.3">
      <c r="BV3837" s="32">
        <f t="shared" ca="1" si="59"/>
        <v>121</v>
      </c>
    </row>
    <row r="3838" spans="74:74" x14ac:dyDescent="0.3">
      <c r="BV3838" s="32">
        <f t="shared" ca="1" si="59"/>
        <v>121</v>
      </c>
    </row>
    <row r="3839" spans="74:74" x14ac:dyDescent="0.3">
      <c r="BV3839" s="32">
        <f t="shared" ca="1" si="59"/>
        <v>121</v>
      </c>
    </row>
    <row r="3840" spans="74:74" x14ac:dyDescent="0.3">
      <c r="BV3840" s="32">
        <f t="shared" ca="1" si="59"/>
        <v>121</v>
      </c>
    </row>
    <row r="3841" spans="74:74" x14ac:dyDescent="0.3">
      <c r="BV3841" s="32">
        <f t="shared" ca="1" si="59"/>
        <v>121</v>
      </c>
    </row>
    <row r="3842" spans="74:74" x14ac:dyDescent="0.3">
      <c r="BV3842" s="32">
        <f t="shared" ca="1" si="59"/>
        <v>121</v>
      </c>
    </row>
    <row r="3843" spans="74:74" x14ac:dyDescent="0.3">
      <c r="BV3843" s="32">
        <f t="shared" ca="1" si="59"/>
        <v>121</v>
      </c>
    </row>
    <row r="3844" spans="74:74" x14ac:dyDescent="0.3">
      <c r="BV3844" s="32">
        <f t="shared" ca="1" si="59"/>
        <v>121</v>
      </c>
    </row>
    <row r="3845" spans="74:74" x14ac:dyDescent="0.3">
      <c r="BV3845" s="32">
        <f t="shared" ca="1" si="59"/>
        <v>121</v>
      </c>
    </row>
    <row r="3846" spans="74:74" x14ac:dyDescent="0.3">
      <c r="BV3846" s="32">
        <f t="shared" ca="1" si="59"/>
        <v>121</v>
      </c>
    </row>
    <row r="3847" spans="74:74" x14ac:dyDescent="0.3">
      <c r="BV3847" s="32">
        <f t="shared" ca="1" si="59"/>
        <v>121</v>
      </c>
    </row>
    <row r="3848" spans="74:74" x14ac:dyDescent="0.3">
      <c r="BV3848" s="32">
        <f t="shared" ca="1" si="59"/>
        <v>121</v>
      </c>
    </row>
    <row r="3849" spans="74:74" x14ac:dyDescent="0.3">
      <c r="BV3849" s="32">
        <f t="shared" ca="1" si="59"/>
        <v>121</v>
      </c>
    </row>
    <row r="3850" spans="74:74" x14ac:dyDescent="0.3">
      <c r="BV3850" s="32">
        <f t="shared" ca="1" si="59"/>
        <v>121</v>
      </c>
    </row>
    <row r="3851" spans="74:74" x14ac:dyDescent="0.3">
      <c r="BV3851" s="32">
        <f t="shared" ca="1" si="59"/>
        <v>121</v>
      </c>
    </row>
    <row r="3852" spans="74:74" x14ac:dyDescent="0.3">
      <c r="BV3852" s="32">
        <f t="shared" ca="1" si="59"/>
        <v>121</v>
      </c>
    </row>
    <row r="3853" spans="74:74" x14ac:dyDescent="0.3">
      <c r="BV3853" s="32">
        <f t="shared" ref="BV3853:BV3916" ca="1" si="60">INT((TODAY()-$I3853)/365)</f>
        <v>121</v>
      </c>
    </row>
    <row r="3854" spans="74:74" x14ac:dyDescent="0.3">
      <c r="BV3854" s="32">
        <f t="shared" ca="1" si="60"/>
        <v>121</v>
      </c>
    </row>
    <row r="3855" spans="74:74" x14ac:dyDescent="0.3">
      <c r="BV3855" s="32">
        <f t="shared" ca="1" si="60"/>
        <v>121</v>
      </c>
    </row>
    <row r="3856" spans="74:74" x14ac:dyDescent="0.3">
      <c r="BV3856" s="32">
        <f t="shared" ca="1" si="60"/>
        <v>121</v>
      </c>
    </row>
    <row r="3857" spans="74:74" x14ac:dyDescent="0.3">
      <c r="BV3857" s="32">
        <f t="shared" ca="1" si="60"/>
        <v>121</v>
      </c>
    </row>
    <row r="3858" spans="74:74" x14ac:dyDescent="0.3">
      <c r="BV3858" s="32">
        <f t="shared" ca="1" si="60"/>
        <v>121</v>
      </c>
    </row>
    <row r="3859" spans="74:74" x14ac:dyDescent="0.3">
      <c r="BV3859" s="32">
        <f t="shared" ca="1" si="60"/>
        <v>121</v>
      </c>
    </row>
    <row r="3860" spans="74:74" x14ac:dyDescent="0.3">
      <c r="BV3860" s="32">
        <f t="shared" ca="1" si="60"/>
        <v>121</v>
      </c>
    </row>
    <row r="3861" spans="74:74" x14ac:dyDescent="0.3">
      <c r="BV3861" s="32">
        <f t="shared" ca="1" si="60"/>
        <v>121</v>
      </c>
    </row>
    <row r="3862" spans="74:74" x14ac:dyDescent="0.3">
      <c r="BV3862" s="32">
        <f t="shared" ca="1" si="60"/>
        <v>121</v>
      </c>
    </row>
    <row r="3863" spans="74:74" x14ac:dyDescent="0.3">
      <c r="BV3863" s="32">
        <f t="shared" ca="1" si="60"/>
        <v>121</v>
      </c>
    </row>
    <row r="3864" spans="74:74" x14ac:dyDescent="0.3">
      <c r="BV3864" s="32">
        <f t="shared" ca="1" si="60"/>
        <v>121</v>
      </c>
    </row>
    <row r="3865" spans="74:74" x14ac:dyDescent="0.3">
      <c r="BV3865" s="32">
        <f t="shared" ca="1" si="60"/>
        <v>121</v>
      </c>
    </row>
    <row r="3866" spans="74:74" x14ac:dyDescent="0.3">
      <c r="BV3866" s="32">
        <f t="shared" ca="1" si="60"/>
        <v>121</v>
      </c>
    </row>
    <row r="3867" spans="74:74" x14ac:dyDescent="0.3">
      <c r="BV3867" s="32">
        <f t="shared" ca="1" si="60"/>
        <v>121</v>
      </c>
    </row>
    <row r="3868" spans="74:74" x14ac:dyDescent="0.3">
      <c r="BV3868" s="32">
        <f t="shared" ca="1" si="60"/>
        <v>121</v>
      </c>
    </row>
    <row r="3869" spans="74:74" x14ac:dyDescent="0.3">
      <c r="BV3869" s="32">
        <f t="shared" ca="1" si="60"/>
        <v>121</v>
      </c>
    </row>
    <row r="3870" spans="74:74" x14ac:dyDescent="0.3">
      <c r="BV3870" s="32">
        <f t="shared" ca="1" si="60"/>
        <v>121</v>
      </c>
    </row>
    <row r="3871" spans="74:74" x14ac:dyDescent="0.3">
      <c r="BV3871" s="32">
        <f t="shared" ca="1" si="60"/>
        <v>121</v>
      </c>
    </row>
    <row r="3872" spans="74:74" x14ac:dyDescent="0.3">
      <c r="BV3872" s="32">
        <f t="shared" ca="1" si="60"/>
        <v>121</v>
      </c>
    </row>
    <row r="3873" spans="74:74" x14ac:dyDescent="0.3">
      <c r="BV3873" s="32">
        <f t="shared" ca="1" si="60"/>
        <v>121</v>
      </c>
    </row>
    <row r="3874" spans="74:74" x14ac:dyDescent="0.3">
      <c r="BV3874" s="32">
        <f t="shared" ca="1" si="60"/>
        <v>121</v>
      </c>
    </row>
    <row r="3875" spans="74:74" x14ac:dyDescent="0.3">
      <c r="BV3875" s="32">
        <f t="shared" ca="1" si="60"/>
        <v>121</v>
      </c>
    </row>
    <row r="3876" spans="74:74" x14ac:dyDescent="0.3">
      <c r="BV3876" s="32">
        <f t="shared" ca="1" si="60"/>
        <v>121</v>
      </c>
    </row>
    <row r="3877" spans="74:74" x14ac:dyDescent="0.3">
      <c r="BV3877" s="32">
        <f t="shared" ca="1" si="60"/>
        <v>121</v>
      </c>
    </row>
    <row r="3878" spans="74:74" x14ac:dyDescent="0.3">
      <c r="BV3878" s="32">
        <f t="shared" ca="1" si="60"/>
        <v>121</v>
      </c>
    </row>
    <row r="3879" spans="74:74" x14ac:dyDescent="0.3">
      <c r="BV3879" s="32">
        <f t="shared" ca="1" si="60"/>
        <v>121</v>
      </c>
    </row>
    <row r="3880" spans="74:74" x14ac:dyDescent="0.3">
      <c r="BV3880" s="32">
        <f t="shared" ca="1" si="60"/>
        <v>121</v>
      </c>
    </row>
    <row r="3881" spans="74:74" x14ac:dyDescent="0.3">
      <c r="BV3881" s="32">
        <f t="shared" ca="1" si="60"/>
        <v>121</v>
      </c>
    </row>
    <row r="3882" spans="74:74" x14ac:dyDescent="0.3">
      <c r="BV3882" s="32">
        <f t="shared" ca="1" si="60"/>
        <v>121</v>
      </c>
    </row>
    <row r="3883" spans="74:74" x14ac:dyDescent="0.3">
      <c r="BV3883" s="32">
        <f t="shared" ca="1" si="60"/>
        <v>121</v>
      </c>
    </row>
    <row r="3884" spans="74:74" x14ac:dyDescent="0.3">
      <c r="BV3884" s="32">
        <f t="shared" ca="1" si="60"/>
        <v>121</v>
      </c>
    </row>
    <row r="3885" spans="74:74" x14ac:dyDescent="0.3">
      <c r="BV3885" s="32">
        <f t="shared" ca="1" si="60"/>
        <v>121</v>
      </c>
    </row>
    <row r="3886" spans="74:74" x14ac:dyDescent="0.3">
      <c r="BV3886" s="32">
        <f t="shared" ca="1" si="60"/>
        <v>121</v>
      </c>
    </row>
    <row r="3887" spans="74:74" x14ac:dyDescent="0.3">
      <c r="BV3887" s="32">
        <f t="shared" ca="1" si="60"/>
        <v>121</v>
      </c>
    </row>
    <row r="3888" spans="74:74" x14ac:dyDescent="0.3">
      <c r="BV3888" s="32">
        <f t="shared" ca="1" si="60"/>
        <v>121</v>
      </c>
    </row>
    <row r="3889" spans="74:74" x14ac:dyDescent="0.3">
      <c r="BV3889" s="32">
        <f t="shared" ca="1" si="60"/>
        <v>121</v>
      </c>
    </row>
    <row r="3890" spans="74:74" x14ac:dyDescent="0.3">
      <c r="BV3890" s="32">
        <f t="shared" ca="1" si="60"/>
        <v>121</v>
      </c>
    </row>
    <row r="3891" spans="74:74" x14ac:dyDescent="0.3">
      <c r="BV3891" s="32">
        <f t="shared" ca="1" si="60"/>
        <v>121</v>
      </c>
    </row>
    <row r="3892" spans="74:74" x14ac:dyDescent="0.3">
      <c r="BV3892" s="32">
        <f t="shared" ca="1" si="60"/>
        <v>121</v>
      </c>
    </row>
    <row r="3893" spans="74:74" x14ac:dyDescent="0.3">
      <c r="BV3893" s="32">
        <f t="shared" ca="1" si="60"/>
        <v>121</v>
      </c>
    </row>
    <row r="3894" spans="74:74" x14ac:dyDescent="0.3">
      <c r="BV3894" s="32">
        <f t="shared" ca="1" si="60"/>
        <v>121</v>
      </c>
    </row>
    <row r="3895" spans="74:74" x14ac:dyDescent="0.3">
      <c r="BV3895" s="32">
        <f t="shared" ca="1" si="60"/>
        <v>121</v>
      </c>
    </row>
    <row r="3896" spans="74:74" x14ac:dyDescent="0.3">
      <c r="BV3896" s="32">
        <f t="shared" ca="1" si="60"/>
        <v>121</v>
      </c>
    </row>
    <row r="3897" spans="74:74" x14ac:dyDescent="0.3">
      <c r="BV3897" s="32">
        <f t="shared" ca="1" si="60"/>
        <v>121</v>
      </c>
    </row>
    <row r="3898" spans="74:74" x14ac:dyDescent="0.3">
      <c r="BV3898" s="32">
        <f t="shared" ca="1" si="60"/>
        <v>121</v>
      </c>
    </row>
    <row r="3899" spans="74:74" x14ac:dyDescent="0.3">
      <c r="BV3899" s="32">
        <f t="shared" ca="1" si="60"/>
        <v>121</v>
      </c>
    </row>
    <row r="3900" spans="74:74" x14ac:dyDescent="0.3">
      <c r="BV3900" s="32">
        <f t="shared" ca="1" si="60"/>
        <v>121</v>
      </c>
    </row>
    <row r="3901" spans="74:74" x14ac:dyDescent="0.3">
      <c r="BV3901" s="32">
        <f t="shared" ca="1" si="60"/>
        <v>121</v>
      </c>
    </row>
    <row r="3902" spans="74:74" x14ac:dyDescent="0.3">
      <c r="BV3902" s="32">
        <f t="shared" ca="1" si="60"/>
        <v>121</v>
      </c>
    </row>
    <row r="3903" spans="74:74" x14ac:dyDescent="0.3">
      <c r="BV3903" s="32">
        <f t="shared" ca="1" si="60"/>
        <v>121</v>
      </c>
    </row>
    <row r="3904" spans="74:74" x14ac:dyDescent="0.3">
      <c r="BV3904" s="32">
        <f t="shared" ca="1" si="60"/>
        <v>121</v>
      </c>
    </row>
    <row r="3905" spans="74:74" x14ac:dyDescent="0.3">
      <c r="BV3905" s="32">
        <f t="shared" ca="1" si="60"/>
        <v>121</v>
      </c>
    </row>
    <row r="3906" spans="74:74" x14ac:dyDescent="0.3">
      <c r="BV3906" s="32">
        <f t="shared" ca="1" si="60"/>
        <v>121</v>
      </c>
    </row>
    <row r="3907" spans="74:74" x14ac:dyDescent="0.3">
      <c r="BV3907" s="32">
        <f t="shared" ca="1" si="60"/>
        <v>121</v>
      </c>
    </row>
    <row r="3908" spans="74:74" x14ac:dyDescent="0.3">
      <c r="BV3908" s="32">
        <f t="shared" ca="1" si="60"/>
        <v>121</v>
      </c>
    </row>
    <row r="3909" spans="74:74" x14ac:dyDescent="0.3">
      <c r="BV3909" s="32">
        <f t="shared" ca="1" si="60"/>
        <v>121</v>
      </c>
    </row>
    <row r="3910" spans="74:74" x14ac:dyDescent="0.3">
      <c r="BV3910" s="32">
        <f t="shared" ca="1" si="60"/>
        <v>121</v>
      </c>
    </row>
    <row r="3911" spans="74:74" x14ac:dyDescent="0.3">
      <c r="BV3911" s="32">
        <f t="shared" ca="1" si="60"/>
        <v>121</v>
      </c>
    </row>
    <row r="3912" spans="74:74" x14ac:dyDescent="0.3">
      <c r="BV3912" s="32">
        <f t="shared" ca="1" si="60"/>
        <v>121</v>
      </c>
    </row>
    <row r="3913" spans="74:74" x14ac:dyDescent="0.3">
      <c r="BV3913" s="32">
        <f t="shared" ca="1" si="60"/>
        <v>121</v>
      </c>
    </row>
    <row r="3914" spans="74:74" x14ac:dyDescent="0.3">
      <c r="BV3914" s="32">
        <f t="shared" ca="1" si="60"/>
        <v>121</v>
      </c>
    </row>
    <row r="3915" spans="74:74" x14ac:dyDescent="0.3">
      <c r="BV3915" s="32">
        <f t="shared" ca="1" si="60"/>
        <v>121</v>
      </c>
    </row>
    <row r="3916" spans="74:74" x14ac:dyDescent="0.3">
      <c r="BV3916" s="32">
        <f t="shared" ca="1" si="60"/>
        <v>121</v>
      </c>
    </row>
    <row r="3917" spans="74:74" x14ac:dyDescent="0.3">
      <c r="BV3917" s="32">
        <f t="shared" ref="BV3917:BV3980" ca="1" si="61">INT((TODAY()-$I3917)/365)</f>
        <v>121</v>
      </c>
    </row>
    <row r="3918" spans="74:74" x14ac:dyDescent="0.3">
      <c r="BV3918" s="32">
        <f t="shared" ca="1" si="61"/>
        <v>121</v>
      </c>
    </row>
    <row r="3919" spans="74:74" x14ac:dyDescent="0.3">
      <c r="BV3919" s="32">
        <f t="shared" ca="1" si="61"/>
        <v>121</v>
      </c>
    </row>
    <row r="3920" spans="74:74" x14ac:dyDescent="0.3">
      <c r="BV3920" s="32">
        <f t="shared" ca="1" si="61"/>
        <v>121</v>
      </c>
    </row>
    <row r="3921" spans="74:74" x14ac:dyDescent="0.3">
      <c r="BV3921" s="32">
        <f t="shared" ca="1" si="61"/>
        <v>121</v>
      </c>
    </row>
    <row r="3922" spans="74:74" x14ac:dyDescent="0.3">
      <c r="BV3922" s="32">
        <f t="shared" ca="1" si="61"/>
        <v>121</v>
      </c>
    </row>
    <row r="3923" spans="74:74" x14ac:dyDescent="0.3">
      <c r="BV3923" s="32">
        <f t="shared" ca="1" si="61"/>
        <v>121</v>
      </c>
    </row>
    <row r="3924" spans="74:74" x14ac:dyDescent="0.3">
      <c r="BV3924" s="32">
        <f t="shared" ca="1" si="61"/>
        <v>121</v>
      </c>
    </row>
    <row r="3925" spans="74:74" x14ac:dyDescent="0.3">
      <c r="BV3925" s="32">
        <f t="shared" ca="1" si="61"/>
        <v>121</v>
      </c>
    </row>
    <row r="3926" spans="74:74" x14ac:dyDescent="0.3">
      <c r="BV3926" s="32">
        <f t="shared" ca="1" si="61"/>
        <v>121</v>
      </c>
    </row>
    <row r="3927" spans="74:74" x14ac:dyDescent="0.3">
      <c r="BV3927" s="32">
        <f t="shared" ca="1" si="61"/>
        <v>121</v>
      </c>
    </row>
    <row r="3928" spans="74:74" x14ac:dyDescent="0.3">
      <c r="BV3928" s="32">
        <f t="shared" ca="1" si="61"/>
        <v>121</v>
      </c>
    </row>
    <row r="3929" spans="74:74" x14ac:dyDescent="0.3">
      <c r="BV3929" s="32">
        <f t="shared" ca="1" si="61"/>
        <v>121</v>
      </c>
    </row>
    <row r="3930" spans="74:74" x14ac:dyDescent="0.3">
      <c r="BV3930" s="32">
        <f t="shared" ca="1" si="61"/>
        <v>121</v>
      </c>
    </row>
    <row r="3931" spans="74:74" x14ac:dyDescent="0.3">
      <c r="BV3931" s="32">
        <f t="shared" ca="1" si="61"/>
        <v>121</v>
      </c>
    </row>
    <row r="3932" spans="74:74" x14ac:dyDescent="0.3">
      <c r="BV3932" s="32">
        <f t="shared" ca="1" si="61"/>
        <v>121</v>
      </c>
    </row>
    <row r="3933" spans="74:74" x14ac:dyDescent="0.3">
      <c r="BV3933" s="32">
        <f t="shared" ca="1" si="61"/>
        <v>121</v>
      </c>
    </row>
    <row r="3934" spans="74:74" x14ac:dyDescent="0.3">
      <c r="BV3934" s="32">
        <f t="shared" ca="1" si="61"/>
        <v>121</v>
      </c>
    </row>
    <row r="3935" spans="74:74" x14ac:dyDescent="0.3">
      <c r="BV3935" s="32">
        <f t="shared" ca="1" si="61"/>
        <v>121</v>
      </c>
    </row>
    <row r="3936" spans="74:74" x14ac:dyDescent="0.3">
      <c r="BV3936" s="32">
        <f t="shared" ca="1" si="61"/>
        <v>121</v>
      </c>
    </row>
    <row r="3937" spans="74:74" x14ac:dyDescent="0.3">
      <c r="BV3937" s="32">
        <f t="shared" ca="1" si="61"/>
        <v>121</v>
      </c>
    </row>
    <row r="3938" spans="74:74" x14ac:dyDescent="0.3">
      <c r="BV3938" s="32">
        <f t="shared" ca="1" si="61"/>
        <v>121</v>
      </c>
    </row>
    <row r="3939" spans="74:74" x14ac:dyDescent="0.3">
      <c r="BV3939" s="32">
        <f t="shared" ca="1" si="61"/>
        <v>121</v>
      </c>
    </row>
    <row r="3940" spans="74:74" x14ac:dyDescent="0.3">
      <c r="BV3940" s="32">
        <f t="shared" ca="1" si="61"/>
        <v>121</v>
      </c>
    </row>
    <row r="3941" spans="74:74" x14ac:dyDescent="0.3">
      <c r="BV3941" s="32">
        <f t="shared" ca="1" si="61"/>
        <v>121</v>
      </c>
    </row>
    <row r="3942" spans="74:74" x14ac:dyDescent="0.3">
      <c r="BV3942" s="32">
        <f t="shared" ca="1" si="61"/>
        <v>121</v>
      </c>
    </row>
    <row r="3943" spans="74:74" x14ac:dyDescent="0.3">
      <c r="BV3943" s="32">
        <f t="shared" ca="1" si="61"/>
        <v>121</v>
      </c>
    </row>
    <row r="3944" spans="74:74" x14ac:dyDescent="0.3">
      <c r="BV3944" s="32">
        <f t="shared" ca="1" si="61"/>
        <v>121</v>
      </c>
    </row>
    <row r="3945" spans="74:74" x14ac:dyDescent="0.3">
      <c r="BV3945" s="32">
        <f t="shared" ca="1" si="61"/>
        <v>121</v>
      </c>
    </row>
    <row r="3946" spans="74:74" x14ac:dyDescent="0.3">
      <c r="BV3946" s="32">
        <f t="shared" ca="1" si="61"/>
        <v>121</v>
      </c>
    </row>
    <row r="3947" spans="74:74" x14ac:dyDescent="0.3">
      <c r="BV3947" s="32">
        <f t="shared" ca="1" si="61"/>
        <v>121</v>
      </c>
    </row>
    <row r="3948" spans="74:74" x14ac:dyDescent="0.3">
      <c r="BV3948" s="32">
        <f t="shared" ca="1" si="61"/>
        <v>121</v>
      </c>
    </row>
    <row r="3949" spans="74:74" x14ac:dyDescent="0.3">
      <c r="BV3949" s="32">
        <f t="shared" ca="1" si="61"/>
        <v>121</v>
      </c>
    </row>
    <row r="3950" spans="74:74" x14ac:dyDescent="0.3">
      <c r="BV3950" s="32">
        <f t="shared" ca="1" si="61"/>
        <v>121</v>
      </c>
    </row>
    <row r="3951" spans="74:74" x14ac:dyDescent="0.3">
      <c r="BV3951" s="32">
        <f t="shared" ca="1" si="61"/>
        <v>121</v>
      </c>
    </row>
    <row r="3952" spans="74:74" x14ac:dyDescent="0.3">
      <c r="BV3952" s="32">
        <f t="shared" ca="1" si="61"/>
        <v>121</v>
      </c>
    </row>
    <row r="3953" spans="74:74" x14ac:dyDescent="0.3">
      <c r="BV3953" s="32">
        <f t="shared" ca="1" si="61"/>
        <v>121</v>
      </c>
    </row>
    <row r="3954" spans="74:74" x14ac:dyDescent="0.3">
      <c r="BV3954" s="32">
        <f t="shared" ca="1" si="61"/>
        <v>121</v>
      </c>
    </row>
    <row r="3955" spans="74:74" x14ac:dyDescent="0.3">
      <c r="BV3955" s="32">
        <f t="shared" ca="1" si="61"/>
        <v>121</v>
      </c>
    </row>
    <row r="3956" spans="74:74" x14ac:dyDescent="0.3">
      <c r="BV3956" s="32">
        <f t="shared" ca="1" si="61"/>
        <v>121</v>
      </c>
    </row>
    <row r="3957" spans="74:74" x14ac:dyDescent="0.3">
      <c r="BV3957" s="32">
        <f t="shared" ca="1" si="61"/>
        <v>121</v>
      </c>
    </row>
    <row r="3958" spans="74:74" x14ac:dyDescent="0.3">
      <c r="BV3958" s="32">
        <f t="shared" ca="1" si="61"/>
        <v>121</v>
      </c>
    </row>
    <row r="3959" spans="74:74" x14ac:dyDescent="0.3">
      <c r="BV3959" s="32">
        <f t="shared" ca="1" si="61"/>
        <v>121</v>
      </c>
    </row>
    <row r="3960" spans="74:74" x14ac:dyDescent="0.3">
      <c r="BV3960" s="32">
        <f t="shared" ca="1" si="61"/>
        <v>121</v>
      </c>
    </row>
    <row r="3961" spans="74:74" x14ac:dyDescent="0.3">
      <c r="BV3961" s="32">
        <f t="shared" ca="1" si="61"/>
        <v>121</v>
      </c>
    </row>
    <row r="3962" spans="74:74" x14ac:dyDescent="0.3">
      <c r="BV3962" s="32">
        <f t="shared" ca="1" si="61"/>
        <v>121</v>
      </c>
    </row>
    <row r="3963" spans="74:74" x14ac:dyDescent="0.3">
      <c r="BV3963" s="32">
        <f t="shared" ca="1" si="61"/>
        <v>121</v>
      </c>
    </row>
    <row r="3964" spans="74:74" x14ac:dyDescent="0.3">
      <c r="BV3964" s="32">
        <f t="shared" ca="1" si="61"/>
        <v>121</v>
      </c>
    </row>
    <row r="3965" spans="74:74" x14ac:dyDescent="0.3">
      <c r="BV3965" s="32">
        <f t="shared" ca="1" si="61"/>
        <v>121</v>
      </c>
    </row>
    <row r="3966" spans="74:74" x14ac:dyDescent="0.3">
      <c r="BV3966" s="32">
        <f t="shared" ca="1" si="61"/>
        <v>121</v>
      </c>
    </row>
    <row r="3967" spans="74:74" x14ac:dyDescent="0.3">
      <c r="BV3967" s="32">
        <f t="shared" ca="1" si="61"/>
        <v>121</v>
      </c>
    </row>
    <row r="3968" spans="74:74" x14ac:dyDescent="0.3">
      <c r="BV3968" s="32">
        <f t="shared" ca="1" si="61"/>
        <v>121</v>
      </c>
    </row>
    <row r="3969" spans="74:74" x14ac:dyDescent="0.3">
      <c r="BV3969" s="32">
        <f t="shared" ca="1" si="61"/>
        <v>121</v>
      </c>
    </row>
    <row r="3970" spans="74:74" x14ac:dyDescent="0.3">
      <c r="BV3970" s="32">
        <f t="shared" ca="1" si="61"/>
        <v>121</v>
      </c>
    </row>
    <row r="3971" spans="74:74" x14ac:dyDescent="0.3">
      <c r="BV3971" s="32">
        <f t="shared" ca="1" si="61"/>
        <v>121</v>
      </c>
    </row>
    <row r="3972" spans="74:74" x14ac:dyDescent="0.3">
      <c r="BV3972" s="32">
        <f t="shared" ca="1" si="61"/>
        <v>121</v>
      </c>
    </row>
    <row r="3973" spans="74:74" x14ac:dyDescent="0.3">
      <c r="BV3973" s="32">
        <f t="shared" ca="1" si="61"/>
        <v>121</v>
      </c>
    </row>
    <row r="3974" spans="74:74" x14ac:dyDescent="0.3">
      <c r="BV3974" s="32">
        <f t="shared" ca="1" si="61"/>
        <v>121</v>
      </c>
    </row>
    <row r="3975" spans="74:74" x14ac:dyDescent="0.3">
      <c r="BV3975" s="32">
        <f t="shared" ca="1" si="61"/>
        <v>121</v>
      </c>
    </row>
    <row r="3976" spans="74:74" x14ac:dyDescent="0.3">
      <c r="BV3976" s="32">
        <f t="shared" ca="1" si="61"/>
        <v>121</v>
      </c>
    </row>
    <row r="3977" spans="74:74" x14ac:dyDescent="0.3">
      <c r="BV3977" s="32">
        <f t="shared" ca="1" si="61"/>
        <v>121</v>
      </c>
    </row>
    <row r="3978" spans="74:74" x14ac:dyDescent="0.3">
      <c r="BV3978" s="32">
        <f t="shared" ca="1" si="61"/>
        <v>121</v>
      </c>
    </row>
    <row r="3979" spans="74:74" x14ac:dyDescent="0.3">
      <c r="BV3979" s="32">
        <f t="shared" ca="1" si="61"/>
        <v>121</v>
      </c>
    </row>
    <row r="3980" spans="74:74" x14ac:dyDescent="0.3">
      <c r="BV3980" s="32">
        <f t="shared" ca="1" si="61"/>
        <v>121</v>
      </c>
    </row>
    <row r="3981" spans="74:74" x14ac:dyDescent="0.3">
      <c r="BV3981" s="32">
        <f t="shared" ref="BV3981:BV4044" ca="1" si="62">INT((TODAY()-$I3981)/365)</f>
        <v>121</v>
      </c>
    </row>
    <row r="3982" spans="74:74" x14ac:dyDescent="0.3">
      <c r="BV3982" s="32">
        <f t="shared" ca="1" si="62"/>
        <v>121</v>
      </c>
    </row>
    <row r="3983" spans="74:74" x14ac:dyDescent="0.3">
      <c r="BV3983" s="32">
        <f t="shared" ca="1" si="62"/>
        <v>121</v>
      </c>
    </row>
    <row r="3984" spans="74:74" x14ac:dyDescent="0.3">
      <c r="BV3984" s="32">
        <f t="shared" ca="1" si="62"/>
        <v>121</v>
      </c>
    </row>
    <row r="3985" spans="74:74" x14ac:dyDescent="0.3">
      <c r="BV3985" s="32">
        <f t="shared" ca="1" si="62"/>
        <v>121</v>
      </c>
    </row>
    <row r="3986" spans="74:74" x14ac:dyDescent="0.3">
      <c r="BV3986" s="32">
        <f t="shared" ca="1" si="62"/>
        <v>121</v>
      </c>
    </row>
    <row r="3987" spans="74:74" x14ac:dyDescent="0.3">
      <c r="BV3987" s="32">
        <f t="shared" ca="1" si="62"/>
        <v>121</v>
      </c>
    </row>
    <row r="3988" spans="74:74" x14ac:dyDescent="0.3">
      <c r="BV3988" s="32">
        <f t="shared" ca="1" si="62"/>
        <v>121</v>
      </c>
    </row>
    <row r="3989" spans="74:74" x14ac:dyDescent="0.3">
      <c r="BV3989" s="32">
        <f t="shared" ca="1" si="62"/>
        <v>121</v>
      </c>
    </row>
    <row r="3990" spans="74:74" x14ac:dyDescent="0.3">
      <c r="BV3990" s="32">
        <f t="shared" ca="1" si="62"/>
        <v>121</v>
      </c>
    </row>
    <row r="3991" spans="74:74" x14ac:dyDescent="0.3">
      <c r="BV3991" s="32">
        <f t="shared" ca="1" si="62"/>
        <v>121</v>
      </c>
    </row>
    <row r="3992" spans="74:74" x14ac:dyDescent="0.3">
      <c r="BV3992" s="32">
        <f t="shared" ca="1" si="62"/>
        <v>121</v>
      </c>
    </row>
    <row r="3993" spans="74:74" x14ac:dyDescent="0.3">
      <c r="BV3993" s="32">
        <f t="shared" ca="1" si="62"/>
        <v>121</v>
      </c>
    </row>
    <row r="3994" spans="74:74" x14ac:dyDescent="0.3">
      <c r="BV3994" s="32">
        <f t="shared" ca="1" si="62"/>
        <v>121</v>
      </c>
    </row>
    <row r="3995" spans="74:74" x14ac:dyDescent="0.3">
      <c r="BV3995" s="32">
        <f t="shared" ca="1" si="62"/>
        <v>121</v>
      </c>
    </row>
    <row r="3996" spans="74:74" x14ac:dyDescent="0.3">
      <c r="BV3996" s="32">
        <f t="shared" ca="1" si="62"/>
        <v>121</v>
      </c>
    </row>
    <row r="3997" spans="74:74" x14ac:dyDescent="0.3">
      <c r="BV3997" s="32">
        <f t="shared" ca="1" si="62"/>
        <v>121</v>
      </c>
    </row>
    <row r="3998" spans="74:74" x14ac:dyDescent="0.3">
      <c r="BV3998" s="32">
        <f t="shared" ca="1" si="62"/>
        <v>121</v>
      </c>
    </row>
    <row r="3999" spans="74:74" x14ac:dyDescent="0.3">
      <c r="BV3999" s="32">
        <f t="shared" ca="1" si="62"/>
        <v>121</v>
      </c>
    </row>
    <row r="4000" spans="74:74" x14ac:dyDescent="0.3">
      <c r="BV4000" s="32">
        <f t="shared" ca="1" si="62"/>
        <v>121</v>
      </c>
    </row>
    <row r="4001" spans="74:74" x14ac:dyDescent="0.3">
      <c r="BV4001" s="32">
        <f t="shared" ca="1" si="62"/>
        <v>121</v>
      </c>
    </row>
    <row r="4002" spans="74:74" x14ac:dyDescent="0.3">
      <c r="BV4002" s="32">
        <f t="shared" ca="1" si="62"/>
        <v>121</v>
      </c>
    </row>
    <row r="4003" spans="74:74" x14ac:dyDescent="0.3">
      <c r="BV4003" s="32">
        <f t="shared" ca="1" si="62"/>
        <v>121</v>
      </c>
    </row>
    <row r="4004" spans="74:74" x14ac:dyDescent="0.3">
      <c r="BV4004" s="32">
        <f t="shared" ca="1" si="62"/>
        <v>121</v>
      </c>
    </row>
    <row r="4005" spans="74:74" x14ac:dyDescent="0.3">
      <c r="BV4005" s="32">
        <f t="shared" ca="1" si="62"/>
        <v>121</v>
      </c>
    </row>
    <row r="4006" spans="74:74" x14ac:dyDescent="0.3">
      <c r="BV4006" s="32">
        <f t="shared" ca="1" si="62"/>
        <v>121</v>
      </c>
    </row>
    <row r="4007" spans="74:74" x14ac:dyDescent="0.3">
      <c r="BV4007" s="32">
        <f t="shared" ca="1" si="62"/>
        <v>121</v>
      </c>
    </row>
    <row r="4008" spans="74:74" x14ac:dyDescent="0.3">
      <c r="BV4008" s="32">
        <f t="shared" ca="1" si="62"/>
        <v>121</v>
      </c>
    </row>
    <row r="4009" spans="74:74" x14ac:dyDescent="0.3">
      <c r="BV4009" s="32">
        <f t="shared" ca="1" si="62"/>
        <v>121</v>
      </c>
    </row>
    <row r="4010" spans="74:74" x14ac:dyDescent="0.3">
      <c r="BV4010" s="32">
        <f t="shared" ca="1" si="62"/>
        <v>121</v>
      </c>
    </row>
    <row r="4011" spans="74:74" x14ac:dyDescent="0.3">
      <c r="BV4011" s="32">
        <f t="shared" ca="1" si="62"/>
        <v>121</v>
      </c>
    </row>
    <row r="4012" spans="74:74" x14ac:dyDescent="0.3">
      <c r="BV4012" s="32">
        <f t="shared" ca="1" si="62"/>
        <v>121</v>
      </c>
    </row>
    <row r="4013" spans="74:74" x14ac:dyDescent="0.3">
      <c r="BV4013" s="32">
        <f t="shared" ca="1" si="62"/>
        <v>121</v>
      </c>
    </row>
    <row r="4014" spans="74:74" x14ac:dyDescent="0.3">
      <c r="BV4014" s="32">
        <f t="shared" ca="1" si="62"/>
        <v>121</v>
      </c>
    </row>
    <row r="4015" spans="74:74" x14ac:dyDescent="0.3">
      <c r="BV4015" s="32">
        <f t="shared" ca="1" si="62"/>
        <v>121</v>
      </c>
    </row>
    <row r="4016" spans="74:74" x14ac:dyDescent="0.3">
      <c r="BV4016" s="32">
        <f t="shared" ca="1" si="62"/>
        <v>121</v>
      </c>
    </row>
    <row r="4017" spans="74:74" x14ac:dyDescent="0.3">
      <c r="BV4017" s="32">
        <f t="shared" ca="1" si="62"/>
        <v>121</v>
      </c>
    </row>
    <row r="4018" spans="74:74" x14ac:dyDescent="0.3">
      <c r="BV4018" s="32">
        <f t="shared" ca="1" si="62"/>
        <v>121</v>
      </c>
    </row>
    <row r="4019" spans="74:74" x14ac:dyDescent="0.3">
      <c r="BV4019" s="32">
        <f t="shared" ca="1" si="62"/>
        <v>121</v>
      </c>
    </row>
    <row r="4020" spans="74:74" x14ac:dyDescent="0.3">
      <c r="BV4020" s="32">
        <f t="shared" ca="1" si="62"/>
        <v>121</v>
      </c>
    </row>
    <row r="4021" spans="74:74" x14ac:dyDescent="0.3">
      <c r="BV4021" s="32">
        <f t="shared" ca="1" si="62"/>
        <v>121</v>
      </c>
    </row>
    <row r="4022" spans="74:74" x14ac:dyDescent="0.3">
      <c r="BV4022" s="32">
        <f t="shared" ca="1" si="62"/>
        <v>121</v>
      </c>
    </row>
    <row r="4023" spans="74:74" x14ac:dyDescent="0.3">
      <c r="BV4023" s="32">
        <f t="shared" ca="1" si="62"/>
        <v>121</v>
      </c>
    </row>
    <row r="4024" spans="74:74" x14ac:dyDescent="0.3">
      <c r="BV4024" s="32">
        <f t="shared" ca="1" si="62"/>
        <v>121</v>
      </c>
    </row>
    <row r="4025" spans="74:74" x14ac:dyDescent="0.3">
      <c r="BV4025" s="32">
        <f t="shared" ca="1" si="62"/>
        <v>121</v>
      </c>
    </row>
    <row r="4026" spans="74:74" x14ac:dyDescent="0.3">
      <c r="BV4026" s="32">
        <f t="shared" ca="1" si="62"/>
        <v>121</v>
      </c>
    </row>
    <row r="4027" spans="74:74" x14ac:dyDescent="0.3">
      <c r="BV4027" s="32">
        <f t="shared" ca="1" si="62"/>
        <v>121</v>
      </c>
    </row>
    <row r="4028" spans="74:74" x14ac:dyDescent="0.3">
      <c r="BV4028" s="32">
        <f t="shared" ca="1" si="62"/>
        <v>121</v>
      </c>
    </row>
    <row r="4029" spans="74:74" x14ac:dyDescent="0.3">
      <c r="BV4029" s="32">
        <f t="shared" ca="1" si="62"/>
        <v>121</v>
      </c>
    </row>
    <row r="4030" spans="74:74" x14ac:dyDescent="0.3">
      <c r="BV4030" s="32">
        <f t="shared" ca="1" si="62"/>
        <v>121</v>
      </c>
    </row>
    <row r="4031" spans="74:74" x14ac:dyDescent="0.3">
      <c r="BV4031" s="32">
        <f t="shared" ca="1" si="62"/>
        <v>121</v>
      </c>
    </row>
    <row r="4032" spans="74:74" x14ac:dyDescent="0.3">
      <c r="BV4032" s="32">
        <f t="shared" ca="1" si="62"/>
        <v>121</v>
      </c>
    </row>
    <row r="4033" spans="74:74" x14ac:dyDescent="0.3">
      <c r="BV4033" s="32">
        <f t="shared" ca="1" si="62"/>
        <v>121</v>
      </c>
    </row>
    <row r="4034" spans="74:74" x14ac:dyDescent="0.3">
      <c r="BV4034" s="32">
        <f t="shared" ca="1" si="62"/>
        <v>121</v>
      </c>
    </row>
    <row r="4035" spans="74:74" x14ac:dyDescent="0.3">
      <c r="BV4035" s="32">
        <f t="shared" ca="1" si="62"/>
        <v>121</v>
      </c>
    </row>
    <row r="4036" spans="74:74" x14ac:dyDescent="0.3">
      <c r="BV4036" s="32">
        <f t="shared" ca="1" si="62"/>
        <v>121</v>
      </c>
    </row>
    <row r="4037" spans="74:74" x14ac:dyDescent="0.3">
      <c r="BV4037" s="32">
        <f t="shared" ca="1" si="62"/>
        <v>121</v>
      </c>
    </row>
    <row r="4038" spans="74:74" x14ac:dyDescent="0.3">
      <c r="BV4038" s="32">
        <f t="shared" ca="1" si="62"/>
        <v>121</v>
      </c>
    </row>
    <row r="4039" spans="74:74" x14ac:dyDescent="0.3">
      <c r="BV4039" s="32">
        <f t="shared" ca="1" si="62"/>
        <v>121</v>
      </c>
    </row>
    <row r="4040" spans="74:74" x14ac:dyDescent="0.3">
      <c r="BV4040" s="32">
        <f t="shared" ca="1" si="62"/>
        <v>121</v>
      </c>
    </row>
    <row r="4041" spans="74:74" x14ac:dyDescent="0.3">
      <c r="BV4041" s="32">
        <f t="shared" ca="1" si="62"/>
        <v>121</v>
      </c>
    </row>
    <row r="4042" spans="74:74" x14ac:dyDescent="0.3">
      <c r="BV4042" s="32">
        <f t="shared" ca="1" si="62"/>
        <v>121</v>
      </c>
    </row>
    <row r="4043" spans="74:74" x14ac:dyDescent="0.3">
      <c r="BV4043" s="32">
        <f t="shared" ca="1" si="62"/>
        <v>121</v>
      </c>
    </row>
    <row r="4044" spans="74:74" x14ac:dyDescent="0.3">
      <c r="BV4044" s="32">
        <f t="shared" ca="1" si="62"/>
        <v>121</v>
      </c>
    </row>
    <row r="4045" spans="74:74" x14ac:dyDescent="0.3">
      <c r="BV4045" s="32">
        <f t="shared" ref="BV4045:BV4108" ca="1" si="63">INT((TODAY()-$I4045)/365)</f>
        <v>121</v>
      </c>
    </row>
    <row r="4046" spans="74:74" x14ac:dyDescent="0.3">
      <c r="BV4046" s="32">
        <f t="shared" ca="1" si="63"/>
        <v>121</v>
      </c>
    </row>
    <row r="4047" spans="74:74" x14ac:dyDescent="0.3">
      <c r="BV4047" s="32">
        <f t="shared" ca="1" si="63"/>
        <v>121</v>
      </c>
    </row>
    <row r="4048" spans="74:74" x14ac:dyDescent="0.3">
      <c r="BV4048" s="32">
        <f t="shared" ca="1" si="63"/>
        <v>121</v>
      </c>
    </row>
    <row r="4049" spans="74:74" x14ac:dyDescent="0.3">
      <c r="BV4049" s="32">
        <f t="shared" ca="1" si="63"/>
        <v>121</v>
      </c>
    </row>
    <row r="4050" spans="74:74" x14ac:dyDescent="0.3">
      <c r="BV4050" s="32">
        <f t="shared" ca="1" si="63"/>
        <v>121</v>
      </c>
    </row>
    <row r="4051" spans="74:74" x14ac:dyDescent="0.3">
      <c r="BV4051" s="32">
        <f t="shared" ca="1" si="63"/>
        <v>121</v>
      </c>
    </row>
    <row r="4052" spans="74:74" x14ac:dyDescent="0.3">
      <c r="BV4052" s="32">
        <f t="shared" ca="1" si="63"/>
        <v>121</v>
      </c>
    </row>
    <row r="4053" spans="74:74" x14ac:dyDescent="0.3">
      <c r="BV4053" s="32">
        <f t="shared" ca="1" si="63"/>
        <v>121</v>
      </c>
    </row>
    <row r="4054" spans="74:74" x14ac:dyDescent="0.3">
      <c r="BV4054" s="32">
        <f t="shared" ca="1" si="63"/>
        <v>121</v>
      </c>
    </row>
    <row r="4055" spans="74:74" x14ac:dyDescent="0.3">
      <c r="BV4055" s="32">
        <f t="shared" ca="1" si="63"/>
        <v>121</v>
      </c>
    </row>
    <row r="4056" spans="74:74" x14ac:dyDescent="0.3">
      <c r="BV4056" s="32">
        <f t="shared" ca="1" si="63"/>
        <v>121</v>
      </c>
    </row>
    <row r="4057" spans="74:74" x14ac:dyDescent="0.3">
      <c r="BV4057" s="32">
        <f t="shared" ca="1" si="63"/>
        <v>121</v>
      </c>
    </row>
    <row r="4058" spans="74:74" x14ac:dyDescent="0.3">
      <c r="BV4058" s="32">
        <f t="shared" ca="1" si="63"/>
        <v>121</v>
      </c>
    </row>
    <row r="4059" spans="74:74" x14ac:dyDescent="0.3">
      <c r="BV4059" s="32">
        <f t="shared" ca="1" si="63"/>
        <v>121</v>
      </c>
    </row>
    <row r="4060" spans="74:74" x14ac:dyDescent="0.3">
      <c r="BV4060" s="32">
        <f t="shared" ca="1" si="63"/>
        <v>121</v>
      </c>
    </row>
    <row r="4061" spans="74:74" x14ac:dyDescent="0.3">
      <c r="BV4061" s="32">
        <f t="shared" ca="1" si="63"/>
        <v>121</v>
      </c>
    </row>
    <row r="4062" spans="74:74" x14ac:dyDescent="0.3">
      <c r="BV4062" s="32">
        <f t="shared" ca="1" si="63"/>
        <v>121</v>
      </c>
    </row>
    <row r="4063" spans="74:74" x14ac:dyDescent="0.3">
      <c r="BV4063" s="32">
        <f t="shared" ca="1" si="63"/>
        <v>121</v>
      </c>
    </row>
    <row r="4064" spans="74:74" x14ac:dyDescent="0.3">
      <c r="BV4064" s="32">
        <f t="shared" ca="1" si="63"/>
        <v>121</v>
      </c>
    </row>
    <row r="4065" spans="74:74" x14ac:dyDescent="0.3">
      <c r="BV4065" s="32">
        <f t="shared" ca="1" si="63"/>
        <v>121</v>
      </c>
    </row>
    <row r="4066" spans="74:74" x14ac:dyDescent="0.3">
      <c r="BV4066" s="32">
        <f t="shared" ca="1" si="63"/>
        <v>121</v>
      </c>
    </row>
    <row r="4067" spans="74:74" x14ac:dyDescent="0.3">
      <c r="BV4067" s="32">
        <f t="shared" ca="1" si="63"/>
        <v>121</v>
      </c>
    </row>
    <row r="4068" spans="74:74" x14ac:dyDescent="0.3">
      <c r="BV4068" s="32">
        <f t="shared" ca="1" si="63"/>
        <v>121</v>
      </c>
    </row>
    <row r="4069" spans="74:74" x14ac:dyDescent="0.3">
      <c r="BV4069" s="32">
        <f t="shared" ca="1" si="63"/>
        <v>121</v>
      </c>
    </row>
    <row r="4070" spans="74:74" x14ac:dyDescent="0.3">
      <c r="BV4070" s="32">
        <f t="shared" ca="1" si="63"/>
        <v>121</v>
      </c>
    </row>
    <row r="4071" spans="74:74" x14ac:dyDescent="0.3">
      <c r="BV4071" s="32">
        <f t="shared" ca="1" si="63"/>
        <v>121</v>
      </c>
    </row>
    <row r="4072" spans="74:74" x14ac:dyDescent="0.3">
      <c r="BV4072" s="32">
        <f t="shared" ca="1" si="63"/>
        <v>121</v>
      </c>
    </row>
    <row r="4073" spans="74:74" x14ac:dyDescent="0.3">
      <c r="BV4073" s="32">
        <f t="shared" ca="1" si="63"/>
        <v>121</v>
      </c>
    </row>
    <row r="4074" spans="74:74" x14ac:dyDescent="0.3">
      <c r="BV4074" s="32">
        <f t="shared" ca="1" si="63"/>
        <v>121</v>
      </c>
    </row>
    <row r="4075" spans="74:74" x14ac:dyDescent="0.3">
      <c r="BV4075" s="32">
        <f t="shared" ca="1" si="63"/>
        <v>121</v>
      </c>
    </row>
    <row r="4076" spans="74:74" x14ac:dyDescent="0.3">
      <c r="BV4076" s="32">
        <f t="shared" ca="1" si="63"/>
        <v>121</v>
      </c>
    </row>
    <row r="4077" spans="74:74" x14ac:dyDescent="0.3">
      <c r="BV4077" s="32">
        <f t="shared" ca="1" si="63"/>
        <v>121</v>
      </c>
    </row>
    <row r="4078" spans="74:74" x14ac:dyDescent="0.3">
      <c r="BV4078" s="32">
        <f t="shared" ca="1" si="63"/>
        <v>121</v>
      </c>
    </row>
    <row r="4079" spans="74:74" x14ac:dyDescent="0.3">
      <c r="BV4079" s="32">
        <f t="shared" ca="1" si="63"/>
        <v>121</v>
      </c>
    </row>
    <row r="4080" spans="74:74" x14ac:dyDescent="0.3">
      <c r="BV4080" s="32">
        <f t="shared" ca="1" si="63"/>
        <v>121</v>
      </c>
    </row>
    <row r="4081" spans="74:74" x14ac:dyDescent="0.3">
      <c r="BV4081" s="32">
        <f t="shared" ca="1" si="63"/>
        <v>121</v>
      </c>
    </row>
    <row r="4082" spans="74:74" x14ac:dyDescent="0.3">
      <c r="BV4082" s="32">
        <f t="shared" ca="1" si="63"/>
        <v>121</v>
      </c>
    </row>
    <row r="4083" spans="74:74" x14ac:dyDescent="0.3">
      <c r="BV4083" s="32">
        <f t="shared" ca="1" si="63"/>
        <v>121</v>
      </c>
    </row>
    <row r="4084" spans="74:74" x14ac:dyDescent="0.3">
      <c r="BV4084" s="32">
        <f t="shared" ca="1" si="63"/>
        <v>121</v>
      </c>
    </row>
    <row r="4085" spans="74:74" x14ac:dyDescent="0.3">
      <c r="BV4085" s="32">
        <f t="shared" ca="1" si="63"/>
        <v>121</v>
      </c>
    </row>
    <row r="4086" spans="74:74" x14ac:dyDescent="0.3">
      <c r="BV4086" s="32">
        <f t="shared" ca="1" si="63"/>
        <v>121</v>
      </c>
    </row>
    <row r="4087" spans="74:74" x14ac:dyDescent="0.3">
      <c r="BV4087" s="32">
        <f t="shared" ca="1" si="63"/>
        <v>121</v>
      </c>
    </row>
    <row r="4088" spans="74:74" x14ac:dyDescent="0.3">
      <c r="BV4088" s="32">
        <f t="shared" ca="1" si="63"/>
        <v>121</v>
      </c>
    </row>
    <row r="4089" spans="74:74" x14ac:dyDescent="0.3">
      <c r="BV4089" s="32">
        <f t="shared" ca="1" si="63"/>
        <v>121</v>
      </c>
    </row>
    <row r="4090" spans="74:74" x14ac:dyDescent="0.3">
      <c r="BV4090" s="32">
        <f t="shared" ca="1" si="63"/>
        <v>121</v>
      </c>
    </row>
    <row r="4091" spans="74:74" x14ac:dyDescent="0.3">
      <c r="BV4091" s="32">
        <f t="shared" ca="1" si="63"/>
        <v>121</v>
      </c>
    </row>
    <row r="4092" spans="74:74" x14ac:dyDescent="0.3">
      <c r="BV4092" s="32">
        <f t="shared" ca="1" si="63"/>
        <v>121</v>
      </c>
    </row>
    <row r="4093" spans="74:74" x14ac:dyDescent="0.3">
      <c r="BV4093" s="32">
        <f t="shared" ca="1" si="63"/>
        <v>121</v>
      </c>
    </row>
    <row r="4094" spans="74:74" x14ac:dyDescent="0.3">
      <c r="BV4094" s="32">
        <f t="shared" ca="1" si="63"/>
        <v>121</v>
      </c>
    </row>
    <row r="4095" spans="74:74" x14ac:dyDescent="0.3">
      <c r="BV4095" s="32">
        <f t="shared" ca="1" si="63"/>
        <v>121</v>
      </c>
    </row>
    <row r="4096" spans="74:74" x14ac:dyDescent="0.3">
      <c r="BV4096" s="32">
        <f t="shared" ca="1" si="63"/>
        <v>121</v>
      </c>
    </row>
    <row r="4097" spans="74:74" x14ac:dyDescent="0.3">
      <c r="BV4097" s="32">
        <f t="shared" ca="1" si="63"/>
        <v>121</v>
      </c>
    </row>
    <row r="4098" spans="74:74" x14ac:dyDescent="0.3">
      <c r="BV4098" s="32">
        <f t="shared" ca="1" si="63"/>
        <v>121</v>
      </c>
    </row>
    <row r="4099" spans="74:74" x14ac:dyDescent="0.3">
      <c r="BV4099" s="32">
        <f t="shared" ca="1" si="63"/>
        <v>121</v>
      </c>
    </row>
    <row r="4100" spans="74:74" x14ac:dyDescent="0.3">
      <c r="BV4100" s="32">
        <f t="shared" ca="1" si="63"/>
        <v>121</v>
      </c>
    </row>
    <row r="4101" spans="74:74" x14ac:dyDescent="0.3">
      <c r="BV4101" s="32">
        <f t="shared" ca="1" si="63"/>
        <v>121</v>
      </c>
    </row>
    <row r="4102" spans="74:74" x14ac:dyDescent="0.3">
      <c r="BV4102" s="32">
        <f t="shared" ca="1" si="63"/>
        <v>121</v>
      </c>
    </row>
    <row r="4103" spans="74:74" x14ac:dyDescent="0.3">
      <c r="BV4103" s="32">
        <f t="shared" ca="1" si="63"/>
        <v>121</v>
      </c>
    </row>
    <row r="4104" spans="74:74" x14ac:dyDescent="0.3">
      <c r="BV4104" s="32">
        <f t="shared" ca="1" si="63"/>
        <v>121</v>
      </c>
    </row>
    <row r="4105" spans="74:74" x14ac:dyDescent="0.3">
      <c r="BV4105" s="32">
        <f t="shared" ca="1" si="63"/>
        <v>121</v>
      </c>
    </row>
    <row r="4106" spans="74:74" x14ac:dyDescent="0.3">
      <c r="BV4106" s="32">
        <f t="shared" ca="1" si="63"/>
        <v>121</v>
      </c>
    </row>
    <row r="4107" spans="74:74" x14ac:dyDescent="0.3">
      <c r="BV4107" s="32">
        <f t="shared" ca="1" si="63"/>
        <v>121</v>
      </c>
    </row>
    <row r="4108" spans="74:74" x14ac:dyDescent="0.3">
      <c r="BV4108" s="32">
        <f t="shared" ca="1" si="63"/>
        <v>121</v>
      </c>
    </row>
    <row r="4109" spans="74:74" x14ac:dyDescent="0.3">
      <c r="BV4109" s="32">
        <f t="shared" ref="BV4109:BV4172" ca="1" si="64">INT((TODAY()-$I4109)/365)</f>
        <v>121</v>
      </c>
    </row>
    <row r="4110" spans="74:74" x14ac:dyDescent="0.3">
      <c r="BV4110" s="32">
        <f t="shared" ca="1" si="64"/>
        <v>121</v>
      </c>
    </row>
    <row r="4111" spans="74:74" x14ac:dyDescent="0.3">
      <c r="BV4111" s="32">
        <f t="shared" ca="1" si="64"/>
        <v>121</v>
      </c>
    </row>
    <row r="4112" spans="74:74" x14ac:dyDescent="0.3">
      <c r="BV4112" s="32">
        <f t="shared" ca="1" si="64"/>
        <v>121</v>
      </c>
    </row>
    <row r="4113" spans="74:74" x14ac:dyDescent="0.3">
      <c r="BV4113" s="32">
        <f t="shared" ca="1" si="64"/>
        <v>121</v>
      </c>
    </row>
    <row r="4114" spans="74:74" x14ac:dyDescent="0.3">
      <c r="BV4114" s="32">
        <f t="shared" ca="1" si="64"/>
        <v>121</v>
      </c>
    </row>
    <row r="4115" spans="74:74" x14ac:dyDescent="0.3">
      <c r="BV4115" s="32">
        <f t="shared" ca="1" si="64"/>
        <v>121</v>
      </c>
    </row>
    <row r="4116" spans="74:74" x14ac:dyDescent="0.3">
      <c r="BV4116" s="32">
        <f t="shared" ca="1" si="64"/>
        <v>121</v>
      </c>
    </row>
    <row r="4117" spans="74:74" x14ac:dyDescent="0.3">
      <c r="BV4117" s="32">
        <f t="shared" ca="1" si="64"/>
        <v>121</v>
      </c>
    </row>
    <row r="4118" spans="74:74" x14ac:dyDescent="0.3">
      <c r="BV4118" s="32">
        <f t="shared" ca="1" si="64"/>
        <v>121</v>
      </c>
    </row>
    <row r="4119" spans="74:74" x14ac:dyDescent="0.3">
      <c r="BV4119" s="32">
        <f t="shared" ca="1" si="64"/>
        <v>121</v>
      </c>
    </row>
    <row r="4120" spans="74:74" x14ac:dyDescent="0.3">
      <c r="BV4120" s="32">
        <f t="shared" ca="1" si="64"/>
        <v>121</v>
      </c>
    </row>
    <row r="4121" spans="74:74" x14ac:dyDescent="0.3">
      <c r="BV4121" s="32">
        <f t="shared" ca="1" si="64"/>
        <v>121</v>
      </c>
    </row>
    <row r="4122" spans="74:74" x14ac:dyDescent="0.3">
      <c r="BV4122" s="32">
        <f t="shared" ca="1" si="64"/>
        <v>121</v>
      </c>
    </row>
    <row r="4123" spans="74:74" x14ac:dyDescent="0.3">
      <c r="BV4123" s="32">
        <f t="shared" ca="1" si="64"/>
        <v>121</v>
      </c>
    </row>
    <row r="4124" spans="74:74" x14ac:dyDescent="0.3">
      <c r="BV4124" s="32">
        <f t="shared" ca="1" si="64"/>
        <v>121</v>
      </c>
    </row>
    <row r="4125" spans="74:74" x14ac:dyDescent="0.3">
      <c r="BV4125" s="32">
        <f t="shared" ca="1" si="64"/>
        <v>121</v>
      </c>
    </row>
    <row r="4126" spans="74:74" x14ac:dyDescent="0.3">
      <c r="BV4126" s="32">
        <f t="shared" ca="1" si="64"/>
        <v>121</v>
      </c>
    </row>
    <row r="4127" spans="74:74" x14ac:dyDescent="0.3">
      <c r="BV4127" s="32">
        <f t="shared" ca="1" si="64"/>
        <v>121</v>
      </c>
    </row>
    <row r="4128" spans="74:74" x14ac:dyDescent="0.3">
      <c r="BV4128" s="32">
        <f t="shared" ca="1" si="64"/>
        <v>121</v>
      </c>
    </row>
    <row r="4129" spans="74:74" x14ac:dyDescent="0.3">
      <c r="BV4129" s="32">
        <f t="shared" ca="1" si="64"/>
        <v>121</v>
      </c>
    </row>
    <row r="4130" spans="74:74" x14ac:dyDescent="0.3">
      <c r="BV4130" s="32">
        <f t="shared" ca="1" si="64"/>
        <v>121</v>
      </c>
    </row>
    <row r="4131" spans="74:74" x14ac:dyDescent="0.3">
      <c r="BV4131" s="32">
        <f t="shared" ca="1" si="64"/>
        <v>121</v>
      </c>
    </row>
    <row r="4132" spans="74:74" x14ac:dyDescent="0.3">
      <c r="BV4132" s="32">
        <f t="shared" ca="1" si="64"/>
        <v>121</v>
      </c>
    </row>
    <row r="4133" spans="74:74" x14ac:dyDescent="0.3">
      <c r="BV4133" s="32">
        <f t="shared" ca="1" si="64"/>
        <v>121</v>
      </c>
    </row>
    <row r="4134" spans="74:74" x14ac:dyDescent="0.3">
      <c r="BV4134" s="32">
        <f t="shared" ca="1" si="64"/>
        <v>121</v>
      </c>
    </row>
    <row r="4135" spans="74:74" x14ac:dyDescent="0.3">
      <c r="BV4135" s="32">
        <f t="shared" ca="1" si="64"/>
        <v>121</v>
      </c>
    </row>
    <row r="4136" spans="74:74" x14ac:dyDescent="0.3">
      <c r="BV4136" s="32">
        <f t="shared" ca="1" si="64"/>
        <v>121</v>
      </c>
    </row>
    <row r="4137" spans="74:74" x14ac:dyDescent="0.3">
      <c r="BV4137" s="32">
        <f t="shared" ca="1" si="64"/>
        <v>121</v>
      </c>
    </row>
    <row r="4138" spans="74:74" x14ac:dyDescent="0.3">
      <c r="BV4138" s="32">
        <f t="shared" ca="1" si="64"/>
        <v>121</v>
      </c>
    </row>
    <row r="4139" spans="74:74" x14ac:dyDescent="0.3">
      <c r="BV4139" s="32">
        <f t="shared" ca="1" si="64"/>
        <v>121</v>
      </c>
    </row>
    <row r="4140" spans="74:74" x14ac:dyDescent="0.3">
      <c r="BV4140" s="32">
        <f t="shared" ca="1" si="64"/>
        <v>121</v>
      </c>
    </row>
    <row r="4141" spans="74:74" x14ac:dyDescent="0.3">
      <c r="BV4141" s="32">
        <f t="shared" ca="1" si="64"/>
        <v>121</v>
      </c>
    </row>
    <row r="4142" spans="74:74" x14ac:dyDescent="0.3">
      <c r="BV4142" s="32">
        <f t="shared" ca="1" si="64"/>
        <v>121</v>
      </c>
    </row>
    <row r="4143" spans="74:74" x14ac:dyDescent="0.3">
      <c r="BV4143" s="32">
        <f t="shared" ca="1" si="64"/>
        <v>121</v>
      </c>
    </row>
    <row r="4144" spans="74:74" x14ac:dyDescent="0.3">
      <c r="BV4144" s="32">
        <f t="shared" ca="1" si="64"/>
        <v>121</v>
      </c>
    </row>
    <row r="4145" spans="74:74" x14ac:dyDescent="0.3">
      <c r="BV4145" s="32">
        <f t="shared" ca="1" si="64"/>
        <v>121</v>
      </c>
    </row>
    <row r="4146" spans="74:74" x14ac:dyDescent="0.3">
      <c r="BV4146" s="32">
        <f t="shared" ca="1" si="64"/>
        <v>121</v>
      </c>
    </row>
    <row r="4147" spans="74:74" x14ac:dyDescent="0.3">
      <c r="BV4147" s="32">
        <f t="shared" ca="1" si="64"/>
        <v>121</v>
      </c>
    </row>
    <row r="4148" spans="74:74" x14ac:dyDescent="0.3">
      <c r="BV4148" s="32">
        <f t="shared" ca="1" si="64"/>
        <v>121</v>
      </c>
    </row>
    <row r="4149" spans="74:74" x14ac:dyDescent="0.3">
      <c r="BV4149" s="32">
        <f t="shared" ca="1" si="64"/>
        <v>121</v>
      </c>
    </row>
    <row r="4150" spans="74:74" x14ac:dyDescent="0.3">
      <c r="BV4150" s="32">
        <f t="shared" ca="1" si="64"/>
        <v>121</v>
      </c>
    </row>
    <row r="4151" spans="74:74" x14ac:dyDescent="0.3">
      <c r="BV4151" s="32">
        <f t="shared" ca="1" si="64"/>
        <v>121</v>
      </c>
    </row>
    <row r="4152" spans="74:74" x14ac:dyDescent="0.3">
      <c r="BV4152" s="32">
        <f t="shared" ca="1" si="64"/>
        <v>121</v>
      </c>
    </row>
    <row r="4153" spans="74:74" x14ac:dyDescent="0.3">
      <c r="BV4153" s="32">
        <f t="shared" ca="1" si="64"/>
        <v>121</v>
      </c>
    </row>
    <row r="4154" spans="74:74" x14ac:dyDescent="0.3">
      <c r="BV4154" s="32">
        <f t="shared" ca="1" si="64"/>
        <v>121</v>
      </c>
    </row>
    <row r="4155" spans="74:74" x14ac:dyDescent="0.3">
      <c r="BV4155" s="32">
        <f t="shared" ca="1" si="64"/>
        <v>121</v>
      </c>
    </row>
    <row r="4156" spans="74:74" x14ac:dyDescent="0.3">
      <c r="BV4156" s="32">
        <f t="shared" ca="1" si="64"/>
        <v>121</v>
      </c>
    </row>
    <row r="4157" spans="74:74" x14ac:dyDescent="0.3">
      <c r="BV4157" s="32">
        <f t="shared" ca="1" si="64"/>
        <v>121</v>
      </c>
    </row>
    <row r="4158" spans="74:74" x14ac:dyDescent="0.3">
      <c r="BV4158" s="32">
        <f t="shared" ca="1" si="64"/>
        <v>121</v>
      </c>
    </row>
    <row r="4159" spans="74:74" x14ac:dyDescent="0.3">
      <c r="BV4159" s="32">
        <f t="shared" ca="1" si="64"/>
        <v>121</v>
      </c>
    </row>
    <row r="4160" spans="74:74" x14ac:dyDescent="0.3">
      <c r="BV4160" s="32">
        <f t="shared" ca="1" si="64"/>
        <v>121</v>
      </c>
    </row>
    <row r="4161" spans="74:74" x14ac:dyDescent="0.3">
      <c r="BV4161" s="32">
        <f t="shared" ca="1" si="64"/>
        <v>121</v>
      </c>
    </row>
    <row r="4162" spans="74:74" x14ac:dyDescent="0.3">
      <c r="BV4162" s="32">
        <f t="shared" ca="1" si="64"/>
        <v>121</v>
      </c>
    </row>
    <row r="4163" spans="74:74" x14ac:dyDescent="0.3">
      <c r="BV4163" s="32">
        <f t="shared" ca="1" si="64"/>
        <v>121</v>
      </c>
    </row>
    <row r="4164" spans="74:74" x14ac:dyDescent="0.3">
      <c r="BV4164" s="32">
        <f t="shared" ca="1" si="64"/>
        <v>121</v>
      </c>
    </row>
    <row r="4165" spans="74:74" x14ac:dyDescent="0.3">
      <c r="BV4165" s="32">
        <f t="shared" ca="1" si="64"/>
        <v>121</v>
      </c>
    </row>
    <row r="4166" spans="74:74" x14ac:dyDescent="0.3">
      <c r="BV4166" s="32">
        <f t="shared" ca="1" si="64"/>
        <v>121</v>
      </c>
    </row>
    <row r="4167" spans="74:74" x14ac:dyDescent="0.3">
      <c r="BV4167" s="32">
        <f t="shared" ca="1" si="64"/>
        <v>121</v>
      </c>
    </row>
    <row r="4168" spans="74:74" x14ac:dyDescent="0.3">
      <c r="BV4168" s="32">
        <f t="shared" ca="1" si="64"/>
        <v>121</v>
      </c>
    </row>
    <row r="4169" spans="74:74" x14ac:dyDescent="0.3">
      <c r="BV4169" s="32">
        <f t="shared" ca="1" si="64"/>
        <v>121</v>
      </c>
    </row>
    <row r="4170" spans="74:74" x14ac:dyDescent="0.3">
      <c r="BV4170" s="32">
        <f t="shared" ca="1" si="64"/>
        <v>121</v>
      </c>
    </row>
    <row r="4171" spans="74:74" x14ac:dyDescent="0.3">
      <c r="BV4171" s="32">
        <f t="shared" ca="1" si="64"/>
        <v>121</v>
      </c>
    </row>
    <row r="4172" spans="74:74" x14ac:dyDescent="0.3">
      <c r="BV4172" s="32">
        <f t="shared" ca="1" si="64"/>
        <v>121</v>
      </c>
    </row>
    <row r="4173" spans="74:74" x14ac:dyDescent="0.3">
      <c r="BV4173" s="32">
        <f t="shared" ref="BV4173:BV4236" ca="1" si="65">INT((TODAY()-$I4173)/365)</f>
        <v>121</v>
      </c>
    </row>
    <row r="4174" spans="74:74" x14ac:dyDescent="0.3">
      <c r="BV4174" s="32">
        <f t="shared" ca="1" si="65"/>
        <v>121</v>
      </c>
    </row>
    <row r="4175" spans="74:74" x14ac:dyDescent="0.3">
      <c r="BV4175" s="32">
        <f t="shared" ca="1" si="65"/>
        <v>121</v>
      </c>
    </row>
    <row r="4176" spans="74:74" x14ac:dyDescent="0.3">
      <c r="BV4176" s="32">
        <f t="shared" ca="1" si="65"/>
        <v>121</v>
      </c>
    </row>
    <row r="4177" spans="74:74" x14ac:dyDescent="0.3">
      <c r="BV4177" s="32">
        <f t="shared" ca="1" si="65"/>
        <v>121</v>
      </c>
    </row>
    <row r="4178" spans="74:74" x14ac:dyDescent="0.3">
      <c r="BV4178" s="32">
        <f t="shared" ca="1" si="65"/>
        <v>121</v>
      </c>
    </row>
    <row r="4179" spans="74:74" x14ac:dyDescent="0.3">
      <c r="BV4179" s="32">
        <f t="shared" ca="1" si="65"/>
        <v>121</v>
      </c>
    </row>
    <row r="4180" spans="74:74" x14ac:dyDescent="0.3">
      <c r="BV4180" s="32">
        <f t="shared" ca="1" si="65"/>
        <v>121</v>
      </c>
    </row>
    <row r="4181" spans="74:74" x14ac:dyDescent="0.3">
      <c r="BV4181" s="32">
        <f t="shared" ca="1" si="65"/>
        <v>121</v>
      </c>
    </row>
    <row r="4182" spans="74:74" x14ac:dyDescent="0.3">
      <c r="BV4182" s="32">
        <f t="shared" ca="1" si="65"/>
        <v>121</v>
      </c>
    </row>
    <row r="4183" spans="74:74" x14ac:dyDescent="0.3">
      <c r="BV4183" s="32">
        <f t="shared" ca="1" si="65"/>
        <v>121</v>
      </c>
    </row>
    <row r="4184" spans="74:74" x14ac:dyDescent="0.3">
      <c r="BV4184" s="32">
        <f t="shared" ca="1" si="65"/>
        <v>121</v>
      </c>
    </row>
    <row r="4185" spans="74:74" x14ac:dyDescent="0.3">
      <c r="BV4185" s="32">
        <f t="shared" ca="1" si="65"/>
        <v>121</v>
      </c>
    </row>
    <row r="4186" spans="74:74" x14ac:dyDescent="0.3">
      <c r="BV4186" s="32">
        <f t="shared" ca="1" si="65"/>
        <v>121</v>
      </c>
    </row>
    <row r="4187" spans="74:74" x14ac:dyDescent="0.3">
      <c r="BV4187" s="32">
        <f t="shared" ca="1" si="65"/>
        <v>121</v>
      </c>
    </row>
    <row r="4188" spans="74:74" x14ac:dyDescent="0.3">
      <c r="BV4188" s="32">
        <f t="shared" ca="1" si="65"/>
        <v>121</v>
      </c>
    </row>
    <row r="4189" spans="74:74" x14ac:dyDescent="0.3">
      <c r="BV4189" s="32">
        <f t="shared" ca="1" si="65"/>
        <v>121</v>
      </c>
    </row>
    <row r="4190" spans="74:74" x14ac:dyDescent="0.3">
      <c r="BV4190" s="32">
        <f t="shared" ca="1" si="65"/>
        <v>121</v>
      </c>
    </row>
    <row r="4191" spans="74:74" x14ac:dyDescent="0.3">
      <c r="BV4191" s="32">
        <f t="shared" ca="1" si="65"/>
        <v>121</v>
      </c>
    </row>
    <row r="4192" spans="74:74" x14ac:dyDescent="0.3">
      <c r="BV4192" s="32">
        <f t="shared" ca="1" si="65"/>
        <v>121</v>
      </c>
    </row>
    <row r="4193" spans="74:74" x14ac:dyDescent="0.3">
      <c r="BV4193" s="32">
        <f t="shared" ca="1" si="65"/>
        <v>121</v>
      </c>
    </row>
    <row r="4194" spans="74:74" x14ac:dyDescent="0.3">
      <c r="BV4194" s="32">
        <f t="shared" ca="1" si="65"/>
        <v>121</v>
      </c>
    </row>
    <row r="4195" spans="74:74" x14ac:dyDescent="0.3">
      <c r="BV4195" s="32">
        <f t="shared" ca="1" si="65"/>
        <v>121</v>
      </c>
    </row>
    <row r="4196" spans="74:74" x14ac:dyDescent="0.3">
      <c r="BV4196" s="32">
        <f t="shared" ca="1" si="65"/>
        <v>121</v>
      </c>
    </row>
    <row r="4197" spans="74:74" x14ac:dyDescent="0.3">
      <c r="BV4197" s="32">
        <f t="shared" ca="1" si="65"/>
        <v>121</v>
      </c>
    </row>
    <row r="4198" spans="74:74" x14ac:dyDescent="0.3">
      <c r="BV4198" s="32">
        <f t="shared" ca="1" si="65"/>
        <v>121</v>
      </c>
    </row>
    <row r="4199" spans="74:74" x14ac:dyDescent="0.3">
      <c r="BV4199" s="32">
        <f t="shared" ca="1" si="65"/>
        <v>121</v>
      </c>
    </row>
    <row r="4200" spans="74:74" x14ac:dyDescent="0.3">
      <c r="BV4200" s="32">
        <f t="shared" ca="1" si="65"/>
        <v>121</v>
      </c>
    </row>
    <row r="4201" spans="74:74" x14ac:dyDescent="0.3">
      <c r="BV4201" s="32">
        <f t="shared" ca="1" si="65"/>
        <v>121</v>
      </c>
    </row>
    <row r="4202" spans="74:74" x14ac:dyDescent="0.3">
      <c r="BV4202" s="32">
        <f t="shared" ca="1" si="65"/>
        <v>121</v>
      </c>
    </row>
    <row r="4203" spans="74:74" x14ac:dyDescent="0.3">
      <c r="BV4203" s="32">
        <f t="shared" ca="1" si="65"/>
        <v>121</v>
      </c>
    </row>
    <row r="4204" spans="74:74" x14ac:dyDescent="0.3">
      <c r="BV4204" s="32">
        <f t="shared" ca="1" si="65"/>
        <v>121</v>
      </c>
    </row>
    <row r="4205" spans="74:74" x14ac:dyDescent="0.3">
      <c r="BV4205" s="32">
        <f t="shared" ca="1" si="65"/>
        <v>121</v>
      </c>
    </row>
    <row r="4206" spans="74:74" x14ac:dyDescent="0.3">
      <c r="BV4206" s="32">
        <f t="shared" ca="1" si="65"/>
        <v>121</v>
      </c>
    </row>
    <row r="4207" spans="74:74" x14ac:dyDescent="0.3">
      <c r="BV4207" s="32">
        <f t="shared" ca="1" si="65"/>
        <v>121</v>
      </c>
    </row>
    <row r="4208" spans="74:74" x14ac:dyDescent="0.3">
      <c r="BV4208" s="32">
        <f t="shared" ca="1" si="65"/>
        <v>121</v>
      </c>
    </row>
    <row r="4209" spans="74:74" x14ac:dyDescent="0.3">
      <c r="BV4209" s="32">
        <f t="shared" ca="1" si="65"/>
        <v>121</v>
      </c>
    </row>
    <row r="4210" spans="74:74" x14ac:dyDescent="0.3">
      <c r="BV4210" s="32">
        <f t="shared" ca="1" si="65"/>
        <v>121</v>
      </c>
    </row>
    <row r="4211" spans="74:74" x14ac:dyDescent="0.3">
      <c r="BV4211" s="32">
        <f t="shared" ca="1" si="65"/>
        <v>121</v>
      </c>
    </row>
    <row r="4212" spans="74:74" x14ac:dyDescent="0.3">
      <c r="BV4212" s="32">
        <f t="shared" ca="1" si="65"/>
        <v>121</v>
      </c>
    </row>
    <row r="4213" spans="74:74" x14ac:dyDescent="0.3">
      <c r="BV4213" s="32">
        <f t="shared" ca="1" si="65"/>
        <v>121</v>
      </c>
    </row>
    <row r="4214" spans="74:74" x14ac:dyDescent="0.3">
      <c r="BV4214" s="32">
        <f t="shared" ca="1" si="65"/>
        <v>121</v>
      </c>
    </row>
    <row r="4215" spans="74:74" x14ac:dyDescent="0.3">
      <c r="BV4215" s="32">
        <f t="shared" ca="1" si="65"/>
        <v>121</v>
      </c>
    </row>
    <row r="4216" spans="74:74" x14ac:dyDescent="0.3">
      <c r="BV4216" s="32">
        <f t="shared" ca="1" si="65"/>
        <v>121</v>
      </c>
    </row>
    <row r="4217" spans="74:74" x14ac:dyDescent="0.3">
      <c r="BV4217" s="32">
        <f t="shared" ca="1" si="65"/>
        <v>121</v>
      </c>
    </row>
    <row r="4218" spans="74:74" x14ac:dyDescent="0.3">
      <c r="BV4218" s="32">
        <f t="shared" ca="1" si="65"/>
        <v>121</v>
      </c>
    </row>
    <row r="4219" spans="74:74" x14ac:dyDescent="0.3">
      <c r="BV4219" s="32">
        <f t="shared" ca="1" si="65"/>
        <v>121</v>
      </c>
    </row>
    <row r="4220" spans="74:74" x14ac:dyDescent="0.3">
      <c r="BV4220" s="32">
        <f t="shared" ca="1" si="65"/>
        <v>121</v>
      </c>
    </row>
    <row r="4221" spans="74:74" x14ac:dyDescent="0.3">
      <c r="BV4221" s="32">
        <f t="shared" ca="1" si="65"/>
        <v>121</v>
      </c>
    </row>
    <row r="4222" spans="74:74" x14ac:dyDescent="0.3">
      <c r="BV4222" s="32">
        <f t="shared" ca="1" si="65"/>
        <v>121</v>
      </c>
    </row>
    <row r="4223" spans="74:74" x14ac:dyDescent="0.3">
      <c r="BV4223" s="32">
        <f t="shared" ca="1" si="65"/>
        <v>121</v>
      </c>
    </row>
    <row r="4224" spans="74:74" x14ac:dyDescent="0.3">
      <c r="BV4224" s="32">
        <f t="shared" ca="1" si="65"/>
        <v>121</v>
      </c>
    </row>
    <row r="4225" spans="74:74" x14ac:dyDescent="0.3">
      <c r="BV4225" s="32">
        <f t="shared" ca="1" si="65"/>
        <v>121</v>
      </c>
    </row>
    <row r="4226" spans="74:74" x14ac:dyDescent="0.3">
      <c r="BV4226" s="32">
        <f t="shared" ca="1" si="65"/>
        <v>121</v>
      </c>
    </row>
    <row r="4227" spans="74:74" x14ac:dyDescent="0.3">
      <c r="BV4227" s="32">
        <f t="shared" ca="1" si="65"/>
        <v>121</v>
      </c>
    </row>
    <row r="4228" spans="74:74" x14ac:dyDescent="0.3">
      <c r="BV4228" s="32">
        <f t="shared" ca="1" si="65"/>
        <v>121</v>
      </c>
    </row>
    <row r="4229" spans="74:74" x14ac:dyDescent="0.3">
      <c r="BV4229" s="32">
        <f t="shared" ca="1" si="65"/>
        <v>121</v>
      </c>
    </row>
    <row r="4230" spans="74:74" x14ac:dyDescent="0.3">
      <c r="BV4230" s="32">
        <f t="shared" ca="1" si="65"/>
        <v>121</v>
      </c>
    </row>
    <row r="4231" spans="74:74" x14ac:dyDescent="0.3">
      <c r="BV4231" s="32">
        <f t="shared" ca="1" si="65"/>
        <v>121</v>
      </c>
    </row>
    <row r="4232" spans="74:74" x14ac:dyDescent="0.3">
      <c r="BV4232" s="32">
        <f t="shared" ca="1" si="65"/>
        <v>121</v>
      </c>
    </row>
    <row r="4233" spans="74:74" x14ac:dyDescent="0.3">
      <c r="BV4233" s="32">
        <f t="shared" ca="1" si="65"/>
        <v>121</v>
      </c>
    </row>
    <row r="4234" spans="74:74" x14ac:dyDescent="0.3">
      <c r="BV4234" s="32">
        <f t="shared" ca="1" si="65"/>
        <v>121</v>
      </c>
    </row>
    <row r="4235" spans="74:74" x14ac:dyDescent="0.3">
      <c r="BV4235" s="32">
        <f t="shared" ca="1" si="65"/>
        <v>121</v>
      </c>
    </row>
    <row r="4236" spans="74:74" x14ac:dyDescent="0.3">
      <c r="BV4236" s="32">
        <f t="shared" ca="1" si="65"/>
        <v>121</v>
      </c>
    </row>
    <row r="4237" spans="74:74" x14ac:dyDescent="0.3">
      <c r="BV4237" s="32">
        <f t="shared" ref="BV4237:BV4300" ca="1" si="66">INT((TODAY()-$I4237)/365)</f>
        <v>121</v>
      </c>
    </row>
    <row r="4238" spans="74:74" x14ac:dyDescent="0.3">
      <c r="BV4238" s="32">
        <f t="shared" ca="1" si="66"/>
        <v>121</v>
      </c>
    </row>
    <row r="4239" spans="74:74" x14ac:dyDescent="0.3">
      <c r="BV4239" s="32">
        <f t="shared" ca="1" si="66"/>
        <v>121</v>
      </c>
    </row>
    <row r="4240" spans="74:74" x14ac:dyDescent="0.3">
      <c r="BV4240" s="32">
        <f t="shared" ca="1" si="66"/>
        <v>121</v>
      </c>
    </row>
    <row r="4241" spans="74:74" x14ac:dyDescent="0.3">
      <c r="BV4241" s="32">
        <f t="shared" ca="1" si="66"/>
        <v>121</v>
      </c>
    </row>
    <row r="4242" spans="74:74" x14ac:dyDescent="0.3">
      <c r="BV4242" s="32">
        <f t="shared" ca="1" si="66"/>
        <v>121</v>
      </c>
    </row>
    <row r="4243" spans="74:74" x14ac:dyDescent="0.3">
      <c r="BV4243" s="32">
        <f t="shared" ca="1" si="66"/>
        <v>121</v>
      </c>
    </row>
    <row r="4244" spans="74:74" x14ac:dyDescent="0.3">
      <c r="BV4244" s="32">
        <f t="shared" ca="1" si="66"/>
        <v>121</v>
      </c>
    </row>
    <row r="4245" spans="74:74" x14ac:dyDescent="0.3">
      <c r="BV4245" s="32">
        <f t="shared" ca="1" si="66"/>
        <v>121</v>
      </c>
    </row>
    <row r="4246" spans="74:74" x14ac:dyDescent="0.3">
      <c r="BV4246" s="32">
        <f t="shared" ca="1" si="66"/>
        <v>121</v>
      </c>
    </row>
    <row r="4247" spans="74:74" x14ac:dyDescent="0.3">
      <c r="BV4247" s="32">
        <f t="shared" ca="1" si="66"/>
        <v>121</v>
      </c>
    </row>
    <row r="4248" spans="74:74" x14ac:dyDescent="0.3">
      <c r="BV4248" s="32">
        <f t="shared" ca="1" si="66"/>
        <v>121</v>
      </c>
    </row>
    <row r="4249" spans="74:74" x14ac:dyDescent="0.3">
      <c r="BV4249" s="32">
        <f t="shared" ca="1" si="66"/>
        <v>121</v>
      </c>
    </row>
    <row r="4250" spans="74:74" x14ac:dyDescent="0.3">
      <c r="BV4250" s="32">
        <f t="shared" ca="1" si="66"/>
        <v>121</v>
      </c>
    </row>
    <row r="4251" spans="74:74" x14ac:dyDescent="0.3">
      <c r="BV4251" s="32">
        <f t="shared" ca="1" si="66"/>
        <v>121</v>
      </c>
    </row>
    <row r="4252" spans="74:74" x14ac:dyDescent="0.3">
      <c r="BV4252" s="32">
        <f t="shared" ca="1" si="66"/>
        <v>121</v>
      </c>
    </row>
    <row r="4253" spans="74:74" x14ac:dyDescent="0.3">
      <c r="BV4253" s="32">
        <f t="shared" ca="1" si="66"/>
        <v>121</v>
      </c>
    </row>
    <row r="4254" spans="74:74" x14ac:dyDescent="0.3">
      <c r="BV4254" s="32">
        <f t="shared" ca="1" si="66"/>
        <v>121</v>
      </c>
    </row>
    <row r="4255" spans="74:74" x14ac:dyDescent="0.3">
      <c r="BV4255" s="32">
        <f t="shared" ca="1" si="66"/>
        <v>121</v>
      </c>
    </row>
    <row r="4256" spans="74:74" x14ac:dyDescent="0.3">
      <c r="BV4256" s="32">
        <f t="shared" ca="1" si="66"/>
        <v>121</v>
      </c>
    </row>
    <row r="4257" spans="74:74" x14ac:dyDescent="0.3">
      <c r="BV4257" s="32">
        <f t="shared" ca="1" si="66"/>
        <v>121</v>
      </c>
    </row>
    <row r="4258" spans="74:74" x14ac:dyDescent="0.3">
      <c r="BV4258" s="32">
        <f t="shared" ca="1" si="66"/>
        <v>121</v>
      </c>
    </row>
    <row r="4259" spans="74:74" x14ac:dyDescent="0.3">
      <c r="BV4259" s="32">
        <f t="shared" ca="1" si="66"/>
        <v>121</v>
      </c>
    </row>
    <row r="4260" spans="74:74" x14ac:dyDescent="0.3">
      <c r="BV4260" s="32">
        <f t="shared" ca="1" si="66"/>
        <v>121</v>
      </c>
    </row>
    <row r="4261" spans="74:74" x14ac:dyDescent="0.3">
      <c r="BV4261" s="32">
        <f t="shared" ca="1" si="66"/>
        <v>121</v>
      </c>
    </row>
    <row r="4262" spans="74:74" x14ac:dyDescent="0.3">
      <c r="BV4262" s="32">
        <f t="shared" ca="1" si="66"/>
        <v>121</v>
      </c>
    </row>
    <row r="4263" spans="74:74" x14ac:dyDescent="0.3">
      <c r="BV4263" s="32">
        <f t="shared" ca="1" si="66"/>
        <v>121</v>
      </c>
    </row>
    <row r="4264" spans="74:74" x14ac:dyDescent="0.3">
      <c r="BV4264" s="32">
        <f t="shared" ca="1" si="66"/>
        <v>121</v>
      </c>
    </row>
    <row r="4265" spans="74:74" x14ac:dyDescent="0.3">
      <c r="BV4265" s="32">
        <f t="shared" ca="1" si="66"/>
        <v>121</v>
      </c>
    </row>
    <row r="4266" spans="74:74" x14ac:dyDescent="0.3">
      <c r="BV4266" s="32">
        <f t="shared" ca="1" si="66"/>
        <v>121</v>
      </c>
    </row>
    <row r="4267" spans="74:74" x14ac:dyDescent="0.3">
      <c r="BV4267" s="32">
        <f t="shared" ca="1" si="66"/>
        <v>121</v>
      </c>
    </row>
    <row r="4268" spans="74:74" x14ac:dyDescent="0.3">
      <c r="BV4268" s="32">
        <f t="shared" ca="1" si="66"/>
        <v>121</v>
      </c>
    </row>
    <row r="4269" spans="74:74" x14ac:dyDescent="0.3">
      <c r="BV4269" s="32">
        <f t="shared" ca="1" si="66"/>
        <v>121</v>
      </c>
    </row>
    <row r="4270" spans="74:74" x14ac:dyDescent="0.3">
      <c r="BV4270" s="32">
        <f t="shared" ca="1" si="66"/>
        <v>121</v>
      </c>
    </row>
    <row r="4271" spans="74:74" x14ac:dyDescent="0.3">
      <c r="BV4271" s="32">
        <f t="shared" ca="1" si="66"/>
        <v>121</v>
      </c>
    </row>
    <row r="4272" spans="74:74" x14ac:dyDescent="0.3">
      <c r="BV4272" s="32">
        <f t="shared" ca="1" si="66"/>
        <v>121</v>
      </c>
    </row>
    <row r="4273" spans="74:74" x14ac:dyDescent="0.3">
      <c r="BV4273" s="32">
        <f t="shared" ca="1" si="66"/>
        <v>121</v>
      </c>
    </row>
    <row r="4274" spans="74:74" x14ac:dyDescent="0.3">
      <c r="BV4274" s="32">
        <f t="shared" ca="1" si="66"/>
        <v>121</v>
      </c>
    </row>
    <row r="4275" spans="74:74" x14ac:dyDescent="0.3">
      <c r="BV4275" s="32">
        <f t="shared" ca="1" si="66"/>
        <v>121</v>
      </c>
    </row>
    <row r="4276" spans="74:74" x14ac:dyDescent="0.3">
      <c r="BV4276" s="32">
        <f t="shared" ca="1" si="66"/>
        <v>121</v>
      </c>
    </row>
    <row r="4277" spans="74:74" x14ac:dyDescent="0.3">
      <c r="BV4277" s="32">
        <f t="shared" ca="1" si="66"/>
        <v>121</v>
      </c>
    </row>
    <row r="4278" spans="74:74" x14ac:dyDescent="0.3">
      <c r="BV4278" s="32">
        <f t="shared" ca="1" si="66"/>
        <v>121</v>
      </c>
    </row>
    <row r="4279" spans="74:74" x14ac:dyDescent="0.3">
      <c r="BV4279" s="32">
        <f t="shared" ca="1" si="66"/>
        <v>121</v>
      </c>
    </row>
    <row r="4280" spans="74:74" x14ac:dyDescent="0.3">
      <c r="BV4280" s="32">
        <f t="shared" ca="1" si="66"/>
        <v>121</v>
      </c>
    </row>
    <row r="4281" spans="74:74" x14ac:dyDescent="0.3">
      <c r="BV4281" s="32">
        <f t="shared" ca="1" si="66"/>
        <v>121</v>
      </c>
    </row>
    <row r="4282" spans="74:74" x14ac:dyDescent="0.3">
      <c r="BV4282" s="32">
        <f t="shared" ca="1" si="66"/>
        <v>121</v>
      </c>
    </row>
    <row r="4283" spans="74:74" x14ac:dyDescent="0.3">
      <c r="BV4283" s="32">
        <f t="shared" ca="1" si="66"/>
        <v>121</v>
      </c>
    </row>
    <row r="4284" spans="74:74" x14ac:dyDescent="0.3">
      <c r="BV4284" s="32">
        <f t="shared" ca="1" si="66"/>
        <v>121</v>
      </c>
    </row>
    <row r="4285" spans="74:74" x14ac:dyDescent="0.3">
      <c r="BV4285" s="32">
        <f t="shared" ca="1" si="66"/>
        <v>121</v>
      </c>
    </row>
    <row r="4286" spans="74:74" x14ac:dyDescent="0.3">
      <c r="BV4286" s="32">
        <f t="shared" ca="1" si="66"/>
        <v>121</v>
      </c>
    </row>
    <row r="4287" spans="74:74" x14ac:dyDescent="0.3">
      <c r="BV4287" s="32">
        <f t="shared" ca="1" si="66"/>
        <v>121</v>
      </c>
    </row>
    <row r="4288" spans="74:74" x14ac:dyDescent="0.3">
      <c r="BV4288" s="32">
        <f t="shared" ca="1" si="66"/>
        <v>121</v>
      </c>
    </row>
    <row r="4289" spans="74:74" x14ac:dyDescent="0.3">
      <c r="BV4289" s="32">
        <f t="shared" ca="1" si="66"/>
        <v>121</v>
      </c>
    </row>
    <row r="4290" spans="74:74" x14ac:dyDescent="0.3">
      <c r="BV4290" s="32">
        <f t="shared" ca="1" si="66"/>
        <v>121</v>
      </c>
    </row>
    <row r="4291" spans="74:74" x14ac:dyDescent="0.3">
      <c r="BV4291" s="32">
        <f t="shared" ca="1" si="66"/>
        <v>121</v>
      </c>
    </row>
    <row r="4292" spans="74:74" x14ac:dyDescent="0.3">
      <c r="BV4292" s="32">
        <f t="shared" ca="1" si="66"/>
        <v>121</v>
      </c>
    </row>
    <row r="4293" spans="74:74" x14ac:dyDescent="0.3">
      <c r="BV4293" s="32">
        <f t="shared" ca="1" si="66"/>
        <v>121</v>
      </c>
    </row>
    <row r="4294" spans="74:74" x14ac:dyDescent="0.3">
      <c r="BV4294" s="32">
        <f t="shared" ca="1" si="66"/>
        <v>121</v>
      </c>
    </row>
    <row r="4295" spans="74:74" x14ac:dyDescent="0.3">
      <c r="BV4295" s="32">
        <f t="shared" ca="1" si="66"/>
        <v>121</v>
      </c>
    </row>
    <row r="4296" spans="74:74" x14ac:dyDescent="0.3">
      <c r="BV4296" s="32">
        <f t="shared" ca="1" si="66"/>
        <v>121</v>
      </c>
    </row>
    <row r="4297" spans="74:74" x14ac:dyDescent="0.3">
      <c r="BV4297" s="32">
        <f t="shared" ca="1" si="66"/>
        <v>121</v>
      </c>
    </row>
    <row r="4298" spans="74:74" x14ac:dyDescent="0.3">
      <c r="BV4298" s="32">
        <f t="shared" ca="1" si="66"/>
        <v>121</v>
      </c>
    </row>
    <row r="4299" spans="74:74" x14ac:dyDescent="0.3">
      <c r="BV4299" s="32">
        <f t="shared" ca="1" si="66"/>
        <v>121</v>
      </c>
    </row>
    <row r="4300" spans="74:74" x14ac:dyDescent="0.3">
      <c r="BV4300" s="32">
        <f t="shared" ca="1" si="66"/>
        <v>121</v>
      </c>
    </row>
    <row r="4301" spans="74:74" x14ac:dyDescent="0.3">
      <c r="BV4301" s="32">
        <f t="shared" ref="BV4301:BV4364" ca="1" si="67">INT((TODAY()-$I4301)/365)</f>
        <v>121</v>
      </c>
    </row>
    <row r="4302" spans="74:74" x14ac:dyDescent="0.3">
      <c r="BV4302" s="32">
        <f t="shared" ca="1" si="67"/>
        <v>121</v>
      </c>
    </row>
    <row r="4303" spans="74:74" x14ac:dyDescent="0.3">
      <c r="BV4303" s="32">
        <f t="shared" ca="1" si="67"/>
        <v>121</v>
      </c>
    </row>
    <row r="4304" spans="74:74" x14ac:dyDescent="0.3">
      <c r="BV4304" s="32">
        <f t="shared" ca="1" si="67"/>
        <v>121</v>
      </c>
    </row>
    <row r="4305" spans="74:74" x14ac:dyDescent="0.3">
      <c r="BV4305" s="32">
        <f t="shared" ca="1" si="67"/>
        <v>121</v>
      </c>
    </row>
    <row r="4306" spans="74:74" x14ac:dyDescent="0.3">
      <c r="BV4306" s="32">
        <f t="shared" ca="1" si="67"/>
        <v>121</v>
      </c>
    </row>
    <row r="4307" spans="74:74" x14ac:dyDescent="0.3">
      <c r="BV4307" s="32">
        <f t="shared" ca="1" si="67"/>
        <v>121</v>
      </c>
    </row>
    <row r="4308" spans="74:74" x14ac:dyDescent="0.3">
      <c r="BV4308" s="32">
        <f t="shared" ca="1" si="67"/>
        <v>121</v>
      </c>
    </row>
    <row r="4309" spans="74:74" x14ac:dyDescent="0.3">
      <c r="BV4309" s="32">
        <f t="shared" ca="1" si="67"/>
        <v>121</v>
      </c>
    </row>
    <row r="4310" spans="74:74" x14ac:dyDescent="0.3">
      <c r="BV4310" s="32">
        <f t="shared" ca="1" si="67"/>
        <v>121</v>
      </c>
    </row>
    <row r="4311" spans="74:74" x14ac:dyDescent="0.3">
      <c r="BV4311" s="32">
        <f t="shared" ca="1" si="67"/>
        <v>121</v>
      </c>
    </row>
    <row r="4312" spans="74:74" x14ac:dyDescent="0.3">
      <c r="BV4312" s="32">
        <f t="shared" ca="1" si="67"/>
        <v>121</v>
      </c>
    </row>
    <row r="4313" spans="74:74" x14ac:dyDescent="0.3">
      <c r="BV4313" s="32">
        <f t="shared" ca="1" si="67"/>
        <v>121</v>
      </c>
    </row>
    <row r="4314" spans="74:74" x14ac:dyDescent="0.3">
      <c r="BV4314" s="32">
        <f t="shared" ca="1" si="67"/>
        <v>121</v>
      </c>
    </row>
    <row r="4315" spans="74:74" x14ac:dyDescent="0.3">
      <c r="BV4315" s="32">
        <f t="shared" ca="1" si="67"/>
        <v>121</v>
      </c>
    </row>
    <row r="4316" spans="74:74" x14ac:dyDescent="0.3">
      <c r="BV4316" s="32">
        <f t="shared" ca="1" si="67"/>
        <v>121</v>
      </c>
    </row>
    <row r="4317" spans="74:74" x14ac:dyDescent="0.3">
      <c r="BV4317" s="32">
        <f t="shared" ca="1" si="67"/>
        <v>121</v>
      </c>
    </row>
    <row r="4318" spans="74:74" x14ac:dyDescent="0.3">
      <c r="BV4318" s="32">
        <f t="shared" ca="1" si="67"/>
        <v>121</v>
      </c>
    </row>
    <row r="4319" spans="74:74" x14ac:dyDescent="0.3">
      <c r="BV4319" s="32">
        <f t="shared" ca="1" si="67"/>
        <v>121</v>
      </c>
    </row>
    <row r="4320" spans="74:74" x14ac:dyDescent="0.3">
      <c r="BV4320" s="32">
        <f t="shared" ca="1" si="67"/>
        <v>121</v>
      </c>
    </row>
    <row r="4321" spans="74:74" x14ac:dyDescent="0.3">
      <c r="BV4321" s="32">
        <f t="shared" ca="1" si="67"/>
        <v>121</v>
      </c>
    </row>
    <row r="4322" spans="74:74" x14ac:dyDescent="0.3">
      <c r="BV4322" s="32">
        <f t="shared" ca="1" si="67"/>
        <v>121</v>
      </c>
    </row>
    <row r="4323" spans="74:74" x14ac:dyDescent="0.3">
      <c r="BV4323" s="32">
        <f t="shared" ca="1" si="67"/>
        <v>121</v>
      </c>
    </row>
    <row r="4324" spans="74:74" x14ac:dyDescent="0.3">
      <c r="BV4324" s="32">
        <f t="shared" ca="1" si="67"/>
        <v>121</v>
      </c>
    </row>
    <row r="4325" spans="74:74" x14ac:dyDescent="0.3">
      <c r="BV4325" s="32">
        <f t="shared" ca="1" si="67"/>
        <v>121</v>
      </c>
    </row>
    <row r="4326" spans="74:74" x14ac:dyDescent="0.3">
      <c r="BV4326" s="32">
        <f t="shared" ca="1" si="67"/>
        <v>121</v>
      </c>
    </row>
    <row r="4327" spans="74:74" x14ac:dyDescent="0.3">
      <c r="BV4327" s="32">
        <f t="shared" ca="1" si="67"/>
        <v>121</v>
      </c>
    </row>
    <row r="4328" spans="74:74" x14ac:dyDescent="0.3">
      <c r="BV4328" s="32">
        <f t="shared" ca="1" si="67"/>
        <v>121</v>
      </c>
    </row>
    <row r="4329" spans="74:74" x14ac:dyDescent="0.3">
      <c r="BV4329" s="32">
        <f t="shared" ca="1" si="67"/>
        <v>121</v>
      </c>
    </row>
    <row r="4330" spans="74:74" x14ac:dyDescent="0.3">
      <c r="BV4330" s="32">
        <f t="shared" ca="1" si="67"/>
        <v>121</v>
      </c>
    </row>
    <row r="4331" spans="74:74" x14ac:dyDescent="0.3">
      <c r="BV4331" s="32">
        <f t="shared" ca="1" si="67"/>
        <v>121</v>
      </c>
    </row>
    <row r="4332" spans="74:74" x14ac:dyDescent="0.3">
      <c r="BV4332" s="32">
        <f t="shared" ca="1" si="67"/>
        <v>121</v>
      </c>
    </row>
    <row r="4333" spans="74:74" x14ac:dyDescent="0.3">
      <c r="BV4333" s="32">
        <f t="shared" ca="1" si="67"/>
        <v>121</v>
      </c>
    </row>
    <row r="4334" spans="74:74" x14ac:dyDescent="0.3">
      <c r="BV4334" s="32">
        <f t="shared" ca="1" si="67"/>
        <v>121</v>
      </c>
    </row>
    <row r="4335" spans="74:74" x14ac:dyDescent="0.3">
      <c r="BV4335" s="32">
        <f t="shared" ca="1" si="67"/>
        <v>121</v>
      </c>
    </row>
    <row r="4336" spans="74:74" x14ac:dyDescent="0.3">
      <c r="BV4336" s="32">
        <f t="shared" ca="1" si="67"/>
        <v>121</v>
      </c>
    </row>
    <row r="4337" spans="74:74" x14ac:dyDescent="0.3">
      <c r="BV4337" s="32">
        <f t="shared" ca="1" si="67"/>
        <v>121</v>
      </c>
    </row>
    <row r="4338" spans="74:74" x14ac:dyDescent="0.3">
      <c r="BV4338" s="32">
        <f t="shared" ca="1" si="67"/>
        <v>121</v>
      </c>
    </row>
    <row r="4339" spans="74:74" x14ac:dyDescent="0.3">
      <c r="BV4339" s="32">
        <f t="shared" ca="1" si="67"/>
        <v>121</v>
      </c>
    </row>
    <row r="4340" spans="74:74" x14ac:dyDescent="0.3">
      <c r="BV4340" s="32">
        <f t="shared" ca="1" si="67"/>
        <v>121</v>
      </c>
    </row>
    <row r="4341" spans="74:74" x14ac:dyDescent="0.3">
      <c r="BV4341" s="32">
        <f t="shared" ca="1" si="67"/>
        <v>121</v>
      </c>
    </row>
    <row r="4342" spans="74:74" x14ac:dyDescent="0.3">
      <c r="BV4342" s="32">
        <f t="shared" ca="1" si="67"/>
        <v>121</v>
      </c>
    </row>
    <row r="4343" spans="74:74" x14ac:dyDescent="0.3">
      <c r="BV4343" s="32">
        <f t="shared" ca="1" si="67"/>
        <v>121</v>
      </c>
    </row>
    <row r="4344" spans="74:74" x14ac:dyDescent="0.3">
      <c r="BV4344" s="32">
        <f t="shared" ca="1" si="67"/>
        <v>121</v>
      </c>
    </row>
    <row r="4345" spans="74:74" x14ac:dyDescent="0.3">
      <c r="BV4345" s="32">
        <f t="shared" ca="1" si="67"/>
        <v>121</v>
      </c>
    </row>
    <row r="4346" spans="74:74" x14ac:dyDescent="0.3">
      <c r="BV4346" s="32">
        <f t="shared" ca="1" si="67"/>
        <v>121</v>
      </c>
    </row>
    <row r="4347" spans="74:74" x14ac:dyDescent="0.3">
      <c r="BV4347" s="32">
        <f t="shared" ca="1" si="67"/>
        <v>121</v>
      </c>
    </row>
    <row r="4348" spans="74:74" x14ac:dyDescent="0.3">
      <c r="BV4348" s="32">
        <f t="shared" ca="1" si="67"/>
        <v>121</v>
      </c>
    </row>
    <row r="4349" spans="74:74" x14ac:dyDescent="0.3">
      <c r="BV4349" s="32">
        <f t="shared" ca="1" si="67"/>
        <v>121</v>
      </c>
    </row>
    <row r="4350" spans="74:74" x14ac:dyDescent="0.3">
      <c r="BV4350" s="32">
        <f t="shared" ca="1" si="67"/>
        <v>121</v>
      </c>
    </row>
    <row r="4351" spans="74:74" x14ac:dyDescent="0.3">
      <c r="BV4351" s="32">
        <f t="shared" ca="1" si="67"/>
        <v>121</v>
      </c>
    </row>
    <row r="4352" spans="74:74" x14ac:dyDescent="0.3">
      <c r="BV4352" s="32">
        <f t="shared" ca="1" si="67"/>
        <v>121</v>
      </c>
    </row>
    <row r="4353" spans="74:74" x14ac:dyDescent="0.3">
      <c r="BV4353" s="32">
        <f t="shared" ca="1" si="67"/>
        <v>121</v>
      </c>
    </row>
    <row r="4354" spans="74:74" x14ac:dyDescent="0.3">
      <c r="BV4354" s="32">
        <f t="shared" ca="1" si="67"/>
        <v>121</v>
      </c>
    </row>
    <row r="4355" spans="74:74" x14ac:dyDescent="0.3">
      <c r="BV4355" s="32">
        <f t="shared" ca="1" si="67"/>
        <v>121</v>
      </c>
    </row>
    <row r="4356" spans="74:74" x14ac:dyDescent="0.3">
      <c r="BV4356" s="32">
        <f t="shared" ca="1" si="67"/>
        <v>121</v>
      </c>
    </row>
    <row r="4357" spans="74:74" x14ac:dyDescent="0.3">
      <c r="BV4357" s="32">
        <f t="shared" ca="1" si="67"/>
        <v>121</v>
      </c>
    </row>
    <row r="4358" spans="74:74" x14ac:dyDescent="0.3">
      <c r="BV4358" s="32">
        <f t="shared" ca="1" si="67"/>
        <v>121</v>
      </c>
    </row>
    <row r="4359" spans="74:74" x14ac:dyDescent="0.3">
      <c r="BV4359" s="32">
        <f t="shared" ca="1" si="67"/>
        <v>121</v>
      </c>
    </row>
    <row r="4360" spans="74:74" x14ac:dyDescent="0.3">
      <c r="BV4360" s="32">
        <f t="shared" ca="1" si="67"/>
        <v>121</v>
      </c>
    </row>
    <row r="4361" spans="74:74" x14ac:dyDescent="0.3">
      <c r="BV4361" s="32">
        <f t="shared" ca="1" si="67"/>
        <v>121</v>
      </c>
    </row>
    <row r="4362" spans="74:74" x14ac:dyDescent="0.3">
      <c r="BV4362" s="32">
        <f t="shared" ca="1" si="67"/>
        <v>121</v>
      </c>
    </row>
    <row r="4363" spans="74:74" x14ac:dyDescent="0.3">
      <c r="BV4363" s="32">
        <f t="shared" ca="1" si="67"/>
        <v>121</v>
      </c>
    </row>
    <row r="4364" spans="74:74" x14ac:dyDescent="0.3">
      <c r="BV4364" s="32">
        <f t="shared" ca="1" si="67"/>
        <v>121</v>
      </c>
    </row>
    <row r="4365" spans="74:74" x14ac:dyDescent="0.3">
      <c r="BV4365" s="32">
        <f t="shared" ref="BV4365:BV4428" ca="1" si="68">INT((TODAY()-$I4365)/365)</f>
        <v>121</v>
      </c>
    </row>
    <row r="4366" spans="74:74" x14ac:dyDescent="0.3">
      <c r="BV4366" s="32">
        <f t="shared" ca="1" si="68"/>
        <v>121</v>
      </c>
    </row>
    <row r="4367" spans="74:74" x14ac:dyDescent="0.3">
      <c r="BV4367" s="32">
        <f t="shared" ca="1" si="68"/>
        <v>121</v>
      </c>
    </row>
    <row r="4368" spans="74:74" x14ac:dyDescent="0.3">
      <c r="BV4368" s="32">
        <f t="shared" ca="1" si="68"/>
        <v>121</v>
      </c>
    </row>
    <row r="4369" spans="74:74" x14ac:dyDescent="0.3">
      <c r="BV4369" s="32">
        <f t="shared" ca="1" si="68"/>
        <v>121</v>
      </c>
    </row>
    <row r="4370" spans="74:74" x14ac:dyDescent="0.3">
      <c r="BV4370" s="32">
        <f t="shared" ca="1" si="68"/>
        <v>121</v>
      </c>
    </row>
    <row r="4371" spans="74:74" x14ac:dyDescent="0.3">
      <c r="BV4371" s="32">
        <f t="shared" ca="1" si="68"/>
        <v>121</v>
      </c>
    </row>
    <row r="4372" spans="74:74" x14ac:dyDescent="0.3">
      <c r="BV4372" s="32">
        <f t="shared" ca="1" si="68"/>
        <v>121</v>
      </c>
    </row>
    <row r="4373" spans="74:74" x14ac:dyDescent="0.3">
      <c r="BV4373" s="32">
        <f t="shared" ca="1" si="68"/>
        <v>121</v>
      </c>
    </row>
    <row r="4374" spans="74:74" x14ac:dyDescent="0.3">
      <c r="BV4374" s="32">
        <f t="shared" ca="1" si="68"/>
        <v>121</v>
      </c>
    </row>
    <row r="4375" spans="74:74" x14ac:dyDescent="0.3">
      <c r="BV4375" s="32">
        <f t="shared" ca="1" si="68"/>
        <v>121</v>
      </c>
    </row>
    <row r="4376" spans="74:74" x14ac:dyDescent="0.3">
      <c r="BV4376" s="32">
        <f t="shared" ca="1" si="68"/>
        <v>121</v>
      </c>
    </row>
    <row r="4377" spans="74:74" x14ac:dyDescent="0.3">
      <c r="BV4377" s="32">
        <f t="shared" ca="1" si="68"/>
        <v>121</v>
      </c>
    </row>
    <row r="4378" spans="74:74" x14ac:dyDescent="0.3">
      <c r="BV4378" s="32">
        <f t="shared" ca="1" si="68"/>
        <v>121</v>
      </c>
    </row>
    <row r="4379" spans="74:74" x14ac:dyDescent="0.3">
      <c r="BV4379" s="32">
        <f t="shared" ca="1" si="68"/>
        <v>121</v>
      </c>
    </row>
    <row r="4380" spans="74:74" x14ac:dyDescent="0.3">
      <c r="BV4380" s="32">
        <f t="shared" ca="1" si="68"/>
        <v>121</v>
      </c>
    </row>
    <row r="4381" spans="74:74" x14ac:dyDescent="0.3">
      <c r="BV4381" s="32">
        <f t="shared" ca="1" si="68"/>
        <v>121</v>
      </c>
    </row>
    <row r="4382" spans="74:74" x14ac:dyDescent="0.3">
      <c r="BV4382" s="32">
        <f t="shared" ca="1" si="68"/>
        <v>121</v>
      </c>
    </row>
    <row r="4383" spans="74:74" x14ac:dyDescent="0.3">
      <c r="BV4383" s="32">
        <f t="shared" ca="1" si="68"/>
        <v>121</v>
      </c>
    </row>
    <row r="4384" spans="74:74" x14ac:dyDescent="0.3">
      <c r="BV4384" s="32">
        <f t="shared" ca="1" si="68"/>
        <v>121</v>
      </c>
    </row>
    <row r="4385" spans="74:74" x14ac:dyDescent="0.3">
      <c r="BV4385" s="32">
        <f t="shared" ca="1" si="68"/>
        <v>121</v>
      </c>
    </row>
    <row r="4386" spans="74:74" x14ac:dyDescent="0.3">
      <c r="BV4386" s="32">
        <f t="shared" ca="1" si="68"/>
        <v>121</v>
      </c>
    </row>
    <row r="4387" spans="74:74" x14ac:dyDescent="0.3">
      <c r="BV4387" s="32">
        <f t="shared" ca="1" si="68"/>
        <v>121</v>
      </c>
    </row>
    <row r="4388" spans="74:74" x14ac:dyDescent="0.3">
      <c r="BV4388" s="32">
        <f t="shared" ca="1" si="68"/>
        <v>121</v>
      </c>
    </row>
    <row r="4389" spans="74:74" x14ac:dyDescent="0.3">
      <c r="BV4389" s="32">
        <f t="shared" ca="1" si="68"/>
        <v>121</v>
      </c>
    </row>
    <row r="4390" spans="74:74" x14ac:dyDescent="0.3">
      <c r="BV4390" s="32">
        <f t="shared" ca="1" si="68"/>
        <v>121</v>
      </c>
    </row>
    <row r="4391" spans="74:74" x14ac:dyDescent="0.3">
      <c r="BV4391" s="32">
        <f t="shared" ca="1" si="68"/>
        <v>121</v>
      </c>
    </row>
    <row r="4392" spans="74:74" x14ac:dyDescent="0.3">
      <c r="BV4392" s="32">
        <f t="shared" ca="1" si="68"/>
        <v>121</v>
      </c>
    </row>
    <row r="4393" spans="74:74" x14ac:dyDescent="0.3">
      <c r="BV4393" s="32">
        <f t="shared" ca="1" si="68"/>
        <v>121</v>
      </c>
    </row>
    <row r="4394" spans="74:74" x14ac:dyDescent="0.3">
      <c r="BV4394" s="32">
        <f t="shared" ca="1" si="68"/>
        <v>121</v>
      </c>
    </row>
    <row r="4395" spans="74:74" x14ac:dyDescent="0.3">
      <c r="BV4395" s="32">
        <f t="shared" ca="1" si="68"/>
        <v>121</v>
      </c>
    </row>
    <row r="4396" spans="74:74" x14ac:dyDescent="0.3">
      <c r="BV4396" s="32">
        <f t="shared" ca="1" si="68"/>
        <v>121</v>
      </c>
    </row>
    <row r="4397" spans="74:74" x14ac:dyDescent="0.3">
      <c r="BV4397" s="32">
        <f t="shared" ca="1" si="68"/>
        <v>121</v>
      </c>
    </row>
    <row r="4398" spans="74:74" x14ac:dyDescent="0.3">
      <c r="BV4398" s="32">
        <f t="shared" ca="1" si="68"/>
        <v>121</v>
      </c>
    </row>
    <row r="4399" spans="74:74" x14ac:dyDescent="0.3">
      <c r="BV4399" s="32">
        <f t="shared" ca="1" si="68"/>
        <v>121</v>
      </c>
    </row>
    <row r="4400" spans="74:74" x14ac:dyDescent="0.3">
      <c r="BV4400" s="32">
        <f t="shared" ca="1" si="68"/>
        <v>121</v>
      </c>
    </row>
    <row r="4401" spans="74:74" x14ac:dyDescent="0.3">
      <c r="BV4401" s="32">
        <f t="shared" ca="1" si="68"/>
        <v>121</v>
      </c>
    </row>
    <row r="4402" spans="74:74" x14ac:dyDescent="0.3">
      <c r="BV4402" s="32">
        <f t="shared" ca="1" si="68"/>
        <v>121</v>
      </c>
    </row>
    <row r="4403" spans="74:74" x14ac:dyDescent="0.3">
      <c r="BV4403" s="32">
        <f t="shared" ca="1" si="68"/>
        <v>121</v>
      </c>
    </row>
    <row r="4404" spans="74:74" x14ac:dyDescent="0.3">
      <c r="BV4404" s="32">
        <f t="shared" ca="1" si="68"/>
        <v>121</v>
      </c>
    </row>
    <row r="4405" spans="74:74" x14ac:dyDescent="0.3">
      <c r="BV4405" s="32">
        <f t="shared" ca="1" si="68"/>
        <v>121</v>
      </c>
    </row>
    <row r="4406" spans="74:74" x14ac:dyDescent="0.3">
      <c r="BV4406" s="32">
        <f t="shared" ca="1" si="68"/>
        <v>121</v>
      </c>
    </row>
    <row r="4407" spans="74:74" x14ac:dyDescent="0.3">
      <c r="BV4407" s="32">
        <f t="shared" ca="1" si="68"/>
        <v>121</v>
      </c>
    </row>
    <row r="4408" spans="74:74" x14ac:dyDescent="0.3">
      <c r="BV4408" s="32">
        <f t="shared" ca="1" si="68"/>
        <v>121</v>
      </c>
    </row>
    <row r="4409" spans="74:74" x14ac:dyDescent="0.3">
      <c r="BV4409" s="32">
        <f t="shared" ca="1" si="68"/>
        <v>121</v>
      </c>
    </row>
    <row r="4410" spans="74:74" x14ac:dyDescent="0.3">
      <c r="BV4410" s="32">
        <f t="shared" ca="1" si="68"/>
        <v>121</v>
      </c>
    </row>
    <row r="4411" spans="74:74" x14ac:dyDescent="0.3">
      <c r="BV4411" s="32">
        <f t="shared" ca="1" si="68"/>
        <v>121</v>
      </c>
    </row>
    <row r="4412" spans="74:74" x14ac:dyDescent="0.3">
      <c r="BV4412" s="32">
        <f t="shared" ca="1" si="68"/>
        <v>121</v>
      </c>
    </row>
    <row r="4413" spans="74:74" x14ac:dyDescent="0.3">
      <c r="BV4413" s="32">
        <f t="shared" ca="1" si="68"/>
        <v>121</v>
      </c>
    </row>
    <row r="4414" spans="74:74" x14ac:dyDescent="0.3">
      <c r="BV4414" s="32">
        <f t="shared" ca="1" si="68"/>
        <v>121</v>
      </c>
    </row>
    <row r="4415" spans="74:74" x14ac:dyDescent="0.3">
      <c r="BV4415" s="32">
        <f t="shared" ca="1" si="68"/>
        <v>121</v>
      </c>
    </row>
    <row r="4416" spans="74:74" x14ac:dyDescent="0.3">
      <c r="BV4416" s="32">
        <f t="shared" ca="1" si="68"/>
        <v>121</v>
      </c>
    </row>
    <row r="4417" spans="74:74" x14ac:dyDescent="0.3">
      <c r="BV4417" s="32">
        <f t="shared" ca="1" si="68"/>
        <v>121</v>
      </c>
    </row>
    <row r="4418" spans="74:74" x14ac:dyDescent="0.3">
      <c r="BV4418" s="32">
        <f t="shared" ca="1" si="68"/>
        <v>121</v>
      </c>
    </row>
    <row r="4419" spans="74:74" x14ac:dyDescent="0.3">
      <c r="BV4419" s="32">
        <f t="shared" ca="1" si="68"/>
        <v>121</v>
      </c>
    </row>
    <row r="4420" spans="74:74" x14ac:dyDescent="0.3">
      <c r="BV4420" s="32">
        <f t="shared" ca="1" si="68"/>
        <v>121</v>
      </c>
    </row>
    <row r="4421" spans="74:74" x14ac:dyDescent="0.3">
      <c r="BV4421" s="32">
        <f t="shared" ca="1" si="68"/>
        <v>121</v>
      </c>
    </row>
    <row r="4422" spans="74:74" x14ac:dyDescent="0.3">
      <c r="BV4422" s="32">
        <f t="shared" ca="1" si="68"/>
        <v>121</v>
      </c>
    </row>
    <row r="4423" spans="74:74" x14ac:dyDescent="0.3">
      <c r="BV4423" s="32">
        <f t="shared" ca="1" si="68"/>
        <v>121</v>
      </c>
    </row>
    <row r="4424" spans="74:74" x14ac:dyDescent="0.3">
      <c r="BV4424" s="32">
        <f t="shared" ca="1" si="68"/>
        <v>121</v>
      </c>
    </row>
    <row r="4425" spans="74:74" x14ac:dyDescent="0.3">
      <c r="BV4425" s="32">
        <f t="shared" ca="1" si="68"/>
        <v>121</v>
      </c>
    </row>
    <row r="4426" spans="74:74" x14ac:dyDescent="0.3">
      <c r="BV4426" s="32">
        <f t="shared" ca="1" si="68"/>
        <v>121</v>
      </c>
    </row>
    <row r="4427" spans="74:74" x14ac:dyDescent="0.3">
      <c r="BV4427" s="32">
        <f t="shared" ca="1" si="68"/>
        <v>121</v>
      </c>
    </row>
    <row r="4428" spans="74:74" x14ac:dyDescent="0.3">
      <c r="BV4428" s="32">
        <f t="shared" ca="1" si="68"/>
        <v>121</v>
      </c>
    </row>
    <row r="4429" spans="74:74" x14ac:dyDescent="0.3">
      <c r="BV4429" s="32">
        <f t="shared" ref="BV4429:BV4492" ca="1" si="69">INT((TODAY()-$I4429)/365)</f>
        <v>121</v>
      </c>
    </row>
    <row r="4430" spans="74:74" x14ac:dyDescent="0.3">
      <c r="BV4430" s="32">
        <f t="shared" ca="1" si="69"/>
        <v>121</v>
      </c>
    </row>
    <row r="4431" spans="74:74" x14ac:dyDescent="0.3">
      <c r="BV4431" s="32">
        <f t="shared" ca="1" si="69"/>
        <v>121</v>
      </c>
    </row>
    <row r="4432" spans="74:74" x14ac:dyDescent="0.3">
      <c r="BV4432" s="32">
        <f t="shared" ca="1" si="69"/>
        <v>121</v>
      </c>
    </row>
    <row r="4433" spans="74:74" x14ac:dyDescent="0.3">
      <c r="BV4433" s="32">
        <f t="shared" ca="1" si="69"/>
        <v>121</v>
      </c>
    </row>
    <row r="4434" spans="74:74" x14ac:dyDescent="0.3">
      <c r="BV4434" s="32">
        <f t="shared" ca="1" si="69"/>
        <v>121</v>
      </c>
    </row>
    <row r="4435" spans="74:74" x14ac:dyDescent="0.3">
      <c r="BV4435" s="32">
        <f t="shared" ca="1" si="69"/>
        <v>121</v>
      </c>
    </row>
    <row r="4436" spans="74:74" x14ac:dyDescent="0.3">
      <c r="BV4436" s="32">
        <f t="shared" ca="1" si="69"/>
        <v>121</v>
      </c>
    </row>
    <row r="4437" spans="74:74" x14ac:dyDescent="0.3">
      <c r="BV4437" s="32">
        <f t="shared" ca="1" si="69"/>
        <v>121</v>
      </c>
    </row>
    <row r="4438" spans="74:74" x14ac:dyDescent="0.3">
      <c r="BV4438" s="32">
        <f t="shared" ca="1" si="69"/>
        <v>121</v>
      </c>
    </row>
    <row r="4439" spans="74:74" x14ac:dyDescent="0.3">
      <c r="BV4439" s="32">
        <f t="shared" ca="1" si="69"/>
        <v>121</v>
      </c>
    </row>
    <row r="4440" spans="74:74" x14ac:dyDescent="0.3">
      <c r="BV4440" s="32">
        <f t="shared" ca="1" si="69"/>
        <v>121</v>
      </c>
    </row>
    <row r="4441" spans="74:74" x14ac:dyDescent="0.3">
      <c r="BV4441" s="32">
        <f t="shared" ca="1" si="69"/>
        <v>121</v>
      </c>
    </row>
    <row r="4442" spans="74:74" x14ac:dyDescent="0.3">
      <c r="BV4442" s="32">
        <f t="shared" ca="1" si="69"/>
        <v>121</v>
      </c>
    </row>
    <row r="4443" spans="74:74" x14ac:dyDescent="0.3">
      <c r="BV4443" s="32">
        <f t="shared" ca="1" si="69"/>
        <v>121</v>
      </c>
    </row>
    <row r="4444" spans="74:74" x14ac:dyDescent="0.3">
      <c r="BV4444" s="32">
        <f t="shared" ca="1" si="69"/>
        <v>121</v>
      </c>
    </row>
    <row r="4445" spans="74:74" x14ac:dyDescent="0.3">
      <c r="BV4445" s="32">
        <f t="shared" ca="1" si="69"/>
        <v>121</v>
      </c>
    </row>
    <row r="4446" spans="74:74" x14ac:dyDescent="0.3">
      <c r="BV4446" s="32">
        <f t="shared" ca="1" si="69"/>
        <v>121</v>
      </c>
    </row>
    <row r="4447" spans="74:74" x14ac:dyDescent="0.3">
      <c r="BV4447" s="32">
        <f t="shared" ca="1" si="69"/>
        <v>121</v>
      </c>
    </row>
    <row r="4448" spans="74:74" x14ac:dyDescent="0.3">
      <c r="BV4448" s="32">
        <f t="shared" ca="1" si="69"/>
        <v>121</v>
      </c>
    </row>
    <row r="4449" spans="74:74" x14ac:dyDescent="0.3">
      <c r="BV4449" s="32">
        <f t="shared" ca="1" si="69"/>
        <v>121</v>
      </c>
    </row>
    <row r="4450" spans="74:74" x14ac:dyDescent="0.3">
      <c r="BV4450" s="32">
        <f t="shared" ca="1" si="69"/>
        <v>121</v>
      </c>
    </row>
    <row r="4451" spans="74:74" x14ac:dyDescent="0.3">
      <c r="BV4451" s="32">
        <f t="shared" ca="1" si="69"/>
        <v>121</v>
      </c>
    </row>
    <row r="4452" spans="74:74" x14ac:dyDescent="0.3">
      <c r="BV4452" s="32">
        <f t="shared" ca="1" si="69"/>
        <v>121</v>
      </c>
    </row>
    <row r="4453" spans="74:74" x14ac:dyDescent="0.3">
      <c r="BV4453" s="32">
        <f t="shared" ca="1" si="69"/>
        <v>121</v>
      </c>
    </row>
    <row r="4454" spans="74:74" x14ac:dyDescent="0.3">
      <c r="BV4454" s="32">
        <f t="shared" ca="1" si="69"/>
        <v>121</v>
      </c>
    </row>
    <row r="4455" spans="74:74" x14ac:dyDescent="0.3">
      <c r="BV4455" s="32">
        <f t="shared" ca="1" si="69"/>
        <v>121</v>
      </c>
    </row>
    <row r="4456" spans="74:74" x14ac:dyDescent="0.3">
      <c r="BV4456" s="32">
        <f t="shared" ca="1" si="69"/>
        <v>121</v>
      </c>
    </row>
    <row r="4457" spans="74:74" x14ac:dyDescent="0.3">
      <c r="BV4457" s="32">
        <f t="shared" ca="1" si="69"/>
        <v>121</v>
      </c>
    </row>
    <row r="4458" spans="74:74" x14ac:dyDescent="0.3">
      <c r="BV4458" s="32">
        <f t="shared" ca="1" si="69"/>
        <v>121</v>
      </c>
    </row>
    <row r="4459" spans="74:74" x14ac:dyDescent="0.3">
      <c r="BV4459" s="32">
        <f t="shared" ca="1" si="69"/>
        <v>121</v>
      </c>
    </row>
    <row r="4460" spans="74:74" x14ac:dyDescent="0.3">
      <c r="BV4460" s="32">
        <f t="shared" ca="1" si="69"/>
        <v>121</v>
      </c>
    </row>
    <row r="4461" spans="74:74" x14ac:dyDescent="0.3">
      <c r="BV4461" s="32">
        <f t="shared" ca="1" si="69"/>
        <v>121</v>
      </c>
    </row>
    <row r="4462" spans="74:74" x14ac:dyDescent="0.3">
      <c r="BV4462" s="32">
        <f t="shared" ca="1" si="69"/>
        <v>121</v>
      </c>
    </row>
    <row r="4463" spans="74:74" x14ac:dyDescent="0.3">
      <c r="BV4463" s="32">
        <f t="shared" ca="1" si="69"/>
        <v>121</v>
      </c>
    </row>
    <row r="4464" spans="74:74" x14ac:dyDescent="0.3">
      <c r="BV4464" s="32">
        <f t="shared" ca="1" si="69"/>
        <v>121</v>
      </c>
    </row>
    <row r="4465" spans="74:74" x14ac:dyDescent="0.3">
      <c r="BV4465" s="32">
        <f t="shared" ca="1" si="69"/>
        <v>121</v>
      </c>
    </row>
    <row r="4466" spans="74:74" x14ac:dyDescent="0.3">
      <c r="BV4466" s="32">
        <f t="shared" ca="1" si="69"/>
        <v>121</v>
      </c>
    </row>
    <row r="4467" spans="74:74" x14ac:dyDescent="0.3">
      <c r="BV4467" s="32">
        <f t="shared" ca="1" si="69"/>
        <v>121</v>
      </c>
    </row>
    <row r="4468" spans="74:74" x14ac:dyDescent="0.3">
      <c r="BV4468" s="32">
        <f t="shared" ca="1" si="69"/>
        <v>121</v>
      </c>
    </row>
    <row r="4469" spans="74:74" x14ac:dyDescent="0.3">
      <c r="BV4469" s="32">
        <f t="shared" ca="1" si="69"/>
        <v>121</v>
      </c>
    </row>
    <row r="4470" spans="74:74" x14ac:dyDescent="0.3">
      <c r="BV4470" s="32">
        <f t="shared" ca="1" si="69"/>
        <v>121</v>
      </c>
    </row>
    <row r="4471" spans="74:74" x14ac:dyDescent="0.3">
      <c r="BV4471" s="32">
        <f t="shared" ca="1" si="69"/>
        <v>121</v>
      </c>
    </row>
    <row r="4472" spans="74:74" x14ac:dyDescent="0.3">
      <c r="BV4472" s="32">
        <f t="shared" ca="1" si="69"/>
        <v>121</v>
      </c>
    </row>
    <row r="4473" spans="74:74" x14ac:dyDescent="0.3">
      <c r="BV4473" s="32">
        <f t="shared" ca="1" si="69"/>
        <v>121</v>
      </c>
    </row>
    <row r="4474" spans="74:74" x14ac:dyDescent="0.3">
      <c r="BV4474" s="32">
        <f t="shared" ca="1" si="69"/>
        <v>121</v>
      </c>
    </row>
    <row r="4475" spans="74:74" x14ac:dyDescent="0.3">
      <c r="BV4475" s="32">
        <f t="shared" ca="1" si="69"/>
        <v>121</v>
      </c>
    </row>
    <row r="4476" spans="74:74" x14ac:dyDescent="0.3">
      <c r="BV4476" s="32">
        <f t="shared" ca="1" si="69"/>
        <v>121</v>
      </c>
    </row>
    <row r="4477" spans="74:74" x14ac:dyDescent="0.3">
      <c r="BV4477" s="32">
        <f t="shared" ca="1" si="69"/>
        <v>121</v>
      </c>
    </row>
    <row r="4478" spans="74:74" x14ac:dyDescent="0.3">
      <c r="BV4478" s="32">
        <f t="shared" ca="1" si="69"/>
        <v>121</v>
      </c>
    </row>
    <row r="4479" spans="74:74" x14ac:dyDescent="0.3">
      <c r="BV4479" s="32">
        <f t="shared" ca="1" si="69"/>
        <v>121</v>
      </c>
    </row>
    <row r="4480" spans="74:74" x14ac:dyDescent="0.3">
      <c r="BV4480" s="32">
        <f t="shared" ca="1" si="69"/>
        <v>121</v>
      </c>
    </row>
    <row r="4481" spans="74:74" x14ac:dyDescent="0.3">
      <c r="BV4481" s="32">
        <f t="shared" ca="1" si="69"/>
        <v>121</v>
      </c>
    </row>
    <row r="4482" spans="74:74" x14ac:dyDescent="0.3">
      <c r="BV4482" s="32">
        <f t="shared" ca="1" si="69"/>
        <v>121</v>
      </c>
    </row>
    <row r="4483" spans="74:74" x14ac:dyDescent="0.3">
      <c r="BV4483" s="32">
        <f t="shared" ca="1" si="69"/>
        <v>121</v>
      </c>
    </row>
    <row r="4484" spans="74:74" x14ac:dyDescent="0.3">
      <c r="BV4484" s="32">
        <f t="shared" ca="1" si="69"/>
        <v>121</v>
      </c>
    </row>
    <row r="4485" spans="74:74" x14ac:dyDescent="0.3">
      <c r="BV4485" s="32">
        <f t="shared" ca="1" si="69"/>
        <v>121</v>
      </c>
    </row>
    <row r="4486" spans="74:74" x14ac:dyDescent="0.3">
      <c r="BV4486" s="32">
        <f t="shared" ca="1" si="69"/>
        <v>121</v>
      </c>
    </row>
    <row r="4487" spans="74:74" x14ac:dyDescent="0.3">
      <c r="BV4487" s="32">
        <f t="shared" ca="1" si="69"/>
        <v>121</v>
      </c>
    </row>
    <row r="4488" spans="74:74" x14ac:dyDescent="0.3">
      <c r="BV4488" s="32">
        <f t="shared" ca="1" si="69"/>
        <v>121</v>
      </c>
    </row>
    <row r="4489" spans="74:74" x14ac:dyDescent="0.3">
      <c r="BV4489" s="32">
        <f t="shared" ca="1" si="69"/>
        <v>121</v>
      </c>
    </row>
    <row r="4490" spans="74:74" x14ac:dyDescent="0.3">
      <c r="BV4490" s="32">
        <f t="shared" ca="1" si="69"/>
        <v>121</v>
      </c>
    </row>
    <row r="4491" spans="74:74" x14ac:dyDescent="0.3">
      <c r="BV4491" s="32">
        <f t="shared" ca="1" si="69"/>
        <v>121</v>
      </c>
    </row>
    <row r="4492" spans="74:74" x14ac:dyDescent="0.3">
      <c r="BV4492" s="32">
        <f t="shared" ca="1" si="69"/>
        <v>121</v>
      </c>
    </row>
    <row r="4493" spans="74:74" x14ac:dyDescent="0.3">
      <c r="BV4493" s="32">
        <f t="shared" ref="BV4493:BV4556" ca="1" si="70">INT((TODAY()-$I4493)/365)</f>
        <v>121</v>
      </c>
    </row>
    <row r="4494" spans="74:74" x14ac:dyDescent="0.3">
      <c r="BV4494" s="32">
        <f t="shared" ca="1" si="70"/>
        <v>121</v>
      </c>
    </row>
    <row r="4495" spans="74:74" x14ac:dyDescent="0.3">
      <c r="BV4495" s="32">
        <f t="shared" ca="1" si="70"/>
        <v>121</v>
      </c>
    </row>
    <row r="4496" spans="74:74" x14ac:dyDescent="0.3">
      <c r="BV4496" s="32">
        <f t="shared" ca="1" si="70"/>
        <v>121</v>
      </c>
    </row>
    <row r="4497" spans="74:74" x14ac:dyDescent="0.3">
      <c r="BV4497" s="32">
        <f t="shared" ca="1" si="70"/>
        <v>121</v>
      </c>
    </row>
    <row r="4498" spans="74:74" x14ac:dyDescent="0.3">
      <c r="BV4498" s="32">
        <f t="shared" ca="1" si="70"/>
        <v>121</v>
      </c>
    </row>
    <row r="4499" spans="74:74" x14ac:dyDescent="0.3">
      <c r="BV4499" s="32">
        <f t="shared" ca="1" si="70"/>
        <v>121</v>
      </c>
    </row>
    <row r="4500" spans="74:74" x14ac:dyDescent="0.3">
      <c r="BV4500" s="32">
        <f t="shared" ca="1" si="70"/>
        <v>121</v>
      </c>
    </row>
    <row r="4501" spans="74:74" x14ac:dyDescent="0.3">
      <c r="BV4501" s="32">
        <f t="shared" ca="1" si="70"/>
        <v>121</v>
      </c>
    </row>
    <row r="4502" spans="74:74" x14ac:dyDescent="0.3">
      <c r="BV4502" s="32">
        <f t="shared" ca="1" si="70"/>
        <v>121</v>
      </c>
    </row>
    <row r="4503" spans="74:74" x14ac:dyDescent="0.3">
      <c r="BV4503" s="32">
        <f t="shared" ca="1" si="70"/>
        <v>121</v>
      </c>
    </row>
    <row r="4504" spans="74:74" x14ac:dyDescent="0.3">
      <c r="BV4504" s="32">
        <f t="shared" ca="1" si="70"/>
        <v>121</v>
      </c>
    </row>
    <row r="4505" spans="74:74" x14ac:dyDescent="0.3">
      <c r="BV4505" s="32">
        <f t="shared" ca="1" si="70"/>
        <v>121</v>
      </c>
    </row>
    <row r="4506" spans="74:74" x14ac:dyDescent="0.3">
      <c r="BV4506" s="32">
        <f t="shared" ca="1" si="70"/>
        <v>121</v>
      </c>
    </row>
    <row r="4507" spans="74:74" x14ac:dyDescent="0.3">
      <c r="BV4507" s="32">
        <f t="shared" ca="1" si="70"/>
        <v>121</v>
      </c>
    </row>
    <row r="4508" spans="74:74" x14ac:dyDescent="0.3">
      <c r="BV4508" s="32">
        <f t="shared" ca="1" si="70"/>
        <v>121</v>
      </c>
    </row>
    <row r="4509" spans="74:74" x14ac:dyDescent="0.3">
      <c r="BV4509" s="32">
        <f t="shared" ca="1" si="70"/>
        <v>121</v>
      </c>
    </row>
    <row r="4510" spans="74:74" x14ac:dyDescent="0.3">
      <c r="BV4510" s="32">
        <f t="shared" ca="1" si="70"/>
        <v>121</v>
      </c>
    </row>
    <row r="4511" spans="74:74" x14ac:dyDescent="0.3">
      <c r="BV4511" s="32">
        <f t="shared" ca="1" si="70"/>
        <v>121</v>
      </c>
    </row>
    <row r="4512" spans="74:74" x14ac:dyDescent="0.3">
      <c r="BV4512" s="32">
        <f t="shared" ca="1" si="70"/>
        <v>121</v>
      </c>
    </row>
    <row r="4513" spans="74:74" x14ac:dyDescent="0.3">
      <c r="BV4513" s="32">
        <f t="shared" ca="1" si="70"/>
        <v>121</v>
      </c>
    </row>
    <row r="4514" spans="74:74" x14ac:dyDescent="0.3">
      <c r="BV4514" s="32">
        <f t="shared" ca="1" si="70"/>
        <v>121</v>
      </c>
    </row>
    <row r="4515" spans="74:74" x14ac:dyDescent="0.3">
      <c r="BV4515" s="32">
        <f t="shared" ca="1" si="70"/>
        <v>121</v>
      </c>
    </row>
    <row r="4516" spans="74:74" x14ac:dyDescent="0.3">
      <c r="BV4516" s="32">
        <f t="shared" ca="1" si="70"/>
        <v>121</v>
      </c>
    </row>
    <row r="4517" spans="74:74" x14ac:dyDescent="0.3">
      <c r="BV4517" s="32">
        <f t="shared" ca="1" si="70"/>
        <v>121</v>
      </c>
    </row>
    <row r="4518" spans="74:74" x14ac:dyDescent="0.3">
      <c r="BV4518" s="32">
        <f t="shared" ca="1" si="70"/>
        <v>121</v>
      </c>
    </row>
    <row r="4519" spans="74:74" x14ac:dyDescent="0.3">
      <c r="BV4519" s="32">
        <f t="shared" ca="1" si="70"/>
        <v>121</v>
      </c>
    </row>
    <row r="4520" spans="74:74" x14ac:dyDescent="0.3">
      <c r="BV4520" s="32">
        <f t="shared" ca="1" si="70"/>
        <v>121</v>
      </c>
    </row>
    <row r="4521" spans="74:74" x14ac:dyDescent="0.3">
      <c r="BV4521" s="32">
        <f t="shared" ca="1" si="70"/>
        <v>121</v>
      </c>
    </row>
    <row r="4522" spans="74:74" x14ac:dyDescent="0.3">
      <c r="BV4522" s="32">
        <f t="shared" ca="1" si="70"/>
        <v>121</v>
      </c>
    </row>
    <row r="4523" spans="74:74" x14ac:dyDescent="0.3">
      <c r="BV4523" s="32">
        <f t="shared" ca="1" si="70"/>
        <v>121</v>
      </c>
    </row>
    <row r="4524" spans="74:74" x14ac:dyDescent="0.3">
      <c r="BV4524" s="32">
        <f t="shared" ca="1" si="70"/>
        <v>121</v>
      </c>
    </row>
    <row r="4525" spans="74:74" x14ac:dyDescent="0.3">
      <c r="BV4525" s="32">
        <f t="shared" ca="1" si="70"/>
        <v>121</v>
      </c>
    </row>
    <row r="4526" spans="74:74" x14ac:dyDescent="0.3">
      <c r="BV4526" s="32">
        <f t="shared" ca="1" si="70"/>
        <v>121</v>
      </c>
    </row>
    <row r="4527" spans="74:74" x14ac:dyDescent="0.3">
      <c r="BV4527" s="32">
        <f t="shared" ca="1" si="70"/>
        <v>121</v>
      </c>
    </row>
    <row r="4528" spans="74:74" x14ac:dyDescent="0.3">
      <c r="BV4528" s="32">
        <f t="shared" ca="1" si="70"/>
        <v>121</v>
      </c>
    </row>
    <row r="4529" spans="74:74" x14ac:dyDescent="0.3">
      <c r="BV4529" s="32">
        <f t="shared" ca="1" si="70"/>
        <v>121</v>
      </c>
    </row>
    <row r="4530" spans="74:74" x14ac:dyDescent="0.3">
      <c r="BV4530" s="32">
        <f t="shared" ca="1" si="70"/>
        <v>121</v>
      </c>
    </row>
    <row r="4531" spans="74:74" x14ac:dyDescent="0.3">
      <c r="BV4531" s="32">
        <f t="shared" ca="1" si="70"/>
        <v>121</v>
      </c>
    </row>
    <row r="4532" spans="74:74" x14ac:dyDescent="0.3">
      <c r="BV4532" s="32">
        <f t="shared" ca="1" si="70"/>
        <v>121</v>
      </c>
    </row>
    <row r="4533" spans="74:74" x14ac:dyDescent="0.3">
      <c r="BV4533" s="32">
        <f t="shared" ca="1" si="70"/>
        <v>121</v>
      </c>
    </row>
    <row r="4534" spans="74:74" x14ac:dyDescent="0.3">
      <c r="BV4534" s="32">
        <f t="shared" ca="1" si="70"/>
        <v>121</v>
      </c>
    </row>
    <row r="4535" spans="74:74" x14ac:dyDescent="0.3">
      <c r="BV4535" s="32">
        <f t="shared" ca="1" si="70"/>
        <v>121</v>
      </c>
    </row>
    <row r="4536" spans="74:74" x14ac:dyDescent="0.3">
      <c r="BV4536" s="32">
        <f t="shared" ca="1" si="70"/>
        <v>121</v>
      </c>
    </row>
    <row r="4537" spans="74:74" x14ac:dyDescent="0.3">
      <c r="BV4537" s="32">
        <f t="shared" ca="1" si="70"/>
        <v>121</v>
      </c>
    </row>
    <row r="4538" spans="74:74" x14ac:dyDescent="0.3">
      <c r="BV4538" s="32">
        <f t="shared" ca="1" si="70"/>
        <v>121</v>
      </c>
    </row>
    <row r="4539" spans="74:74" x14ac:dyDescent="0.3">
      <c r="BV4539" s="32">
        <f t="shared" ca="1" si="70"/>
        <v>121</v>
      </c>
    </row>
    <row r="4540" spans="74:74" x14ac:dyDescent="0.3">
      <c r="BV4540" s="32">
        <f t="shared" ca="1" si="70"/>
        <v>121</v>
      </c>
    </row>
    <row r="4541" spans="74:74" x14ac:dyDescent="0.3">
      <c r="BV4541" s="32">
        <f t="shared" ca="1" si="70"/>
        <v>121</v>
      </c>
    </row>
    <row r="4542" spans="74:74" x14ac:dyDescent="0.3">
      <c r="BV4542" s="32">
        <f t="shared" ca="1" si="70"/>
        <v>121</v>
      </c>
    </row>
    <row r="4543" spans="74:74" x14ac:dyDescent="0.3">
      <c r="BV4543" s="32">
        <f t="shared" ca="1" si="70"/>
        <v>121</v>
      </c>
    </row>
    <row r="4544" spans="74:74" x14ac:dyDescent="0.3">
      <c r="BV4544" s="32">
        <f t="shared" ca="1" si="70"/>
        <v>121</v>
      </c>
    </row>
    <row r="4545" spans="74:74" x14ac:dyDescent="0.3">
      <c r="BV4545" s="32">
        <f t="shared" ca="1" si="70"/>
        <v>121</v>
      </c>
    </row>
    <row r="4546" spans="74:74" x14ac:dyDescent="0.3">
      <c r="BV4546" s="32">
        <f t="shared" ca="1" si="70"/>
        <v>121</v>
      </c>
    </row>
    <row r="4547" spans="74:74" x14ac:dyDescent="0.3">
      <c r="BV4547" s="32">
        <f t="shared" ca="1" si="70"/>
        <v>121</v>
      </c>
    </row>
    <row r="4548" spans="74:74" x14ac:dyDescent="0.3">
      <c r="BV4548" s="32">
        <f t="shared" ca="1" si="70"/>
        <v>121</v>
      </c>
    </row>
    <row r="4549" spans="74:74" x14ac:dyDescent="0.3">
      <c r="BV4549" s="32">
        <f t="shared" ca="1" si="70"/>
        <v>121</v>
      </c>
    </row>
    <row r="4550" spans="74:74" x14ac:dyDescent="0.3">
      <c r="BV4550" s="32">
        <f t="shared" ca="1" si="70"/>
        <v>121</v>
      </c>
    </row>
    <row r="4551" spans="74:74" x14ac:dyDescent="0.3">
      <c r="BV4551" s="32">
        <f t="shared" ca="1" si="70"/>
        <v>121</v>
      </c>
    </row>
    <row r="4552" spans="74:74" x14ac:dyDescent="0.3">
      <c r="BV4552" s="32">
        <f t="shared" ca="1" si="70"/>
        <v>121</v>
      </c>
    </row>
    <row r="4553" spans="74:74" x14ac:dyDescent="0.3">
      <c r="BV4553" s="32">
        <f t="shared" ca="1" si="70"/>
        <v>121</v>
      </c>
    </row>
    <row r="4554" spans="74:74" x14ac:dyDescent="0.3">
      <c r="BV4554" s="32">
        <f t="shared" ca="1" si="70"/>
        <v>121</v>
      </c>
    </row>
    <row r="4555" spans="74:74" x14ac:dyDescent="0.3">
      <c r="BV4555" s="32">
        <f t="shared" ca="1" si="70"/>
        <v>121</v>
      </c>
    </row>
    <row r="4556" spans="74:74" x14ac:dyDescent="0.3">
      <c r="BV4556" s="32">
        <f t="shared" ca="1" si="70"/>
        <v>121</v>
      </c>
    </row>
    <row r="4557" spans="74:74" x14ac:dyDescent="0.3">
      <c r="BV4557" s="32">
        <f t="shared" ref="BV4557:BV4620" ca="1" si="71">INT((TODAY()-$I4557)/365)</f>
        <v>121</v>
      </c>
    </row>
    <row r="4558" spans="74:74" x14ac:dyDescent="0.3">
      <c r="BV4558" s="32">
        <f t="shared" ca="1" si="71"/>
        <v>121</v>
      </c>
    </row>
    <row r="4559" spans="74:74" x14ac:dyDescent="0.3">
      <c r="BV4559" s="32">
        <f t="shared" ca="1" si="71"/>
        <v>121</v>
      </c>
    </row>
    <row r="4560" spans="74:74" x14ac:dyDescent="0.3">
      <c r="BV4560" s="32">
        <f t="shared" ca="1" si="71"/>
        <v>121</v>
      </c>
    </row>
    <row r="4561" spans="74:74" x14ac:dyDescent="0.3">
      <c r="BV4561" s="32">
        <f t="shared" ca="1" si="71"/>
        <v>121</v>
      </c>
    </row>
    <row r="4562" spans="74:74" x14ac:dyDescent="0.3">
      <c r="BV4562" s="32">
        <f t="shared" ca="1" si="71"/>
        <v>121</v>
      </c>
    </row>
    <row r="4563" spans="74:74" x14ac:dyDescent="0.3">
      <c r="BV4563" s="32">
        <f t="shared" ca="1" si="71"/>
        <v>121</v>
      </c>
    </row>
    <row r="4564" spans="74:74" x14ac:dyDescent="0.3">
      <c r="BV4564" s="32">
        <f t="shared" ca="1" si="71"/>
        <v>121</v>
      </c>
    </row>
    <row r="4565" spans="74:74" x14ac:dyDescent="0.3">
      <c r="BV4565" s="32">
        <f t="shared" ca="1" si="71"/>
        <v>121</v>
      </c>
    </row>
    <row r="4566" spans="74:74" x14ac:dyDescent="0.3">
      <c r="BV4566" s="32">
        <f t="shared" ca="1" si="71"/>
        <v>121</v>
      </c>
    </row>
    <row r="4567" spans="74:74" x14ac:dyDescent="0.3">
      <c r="BV4567" s="32">
        <f t="shared" ca="1" si="71"/>
        <v>121</v>
      </c>
    </row>
    <row r="4568" spans="74:74" x14ac:dyDescent="0.3">
      <c r="BV4568" s="32">
        <f t="shared" ca="1" si="71"/>
        <v>121</v>
      </c>
    </row>
    <row r="4569" spans="74:74" x14ac:dyDescent="0.3">
      <c r="BV4569" s="32">
        <f t="shared" ca="1" si="71"/>
        <v>121</v>
      </c>
    </row>
    <row r="4570" spans="74:74" x14ac:dyDescent="0.3">
      <c r="BV4570" s="32">
        <f t="shared" ca="1" si="71"/>
        <v>121</v>
      </c>
    </row>
    <row r="4571" spans="74:74" x14ac:dyDescent="0.3">
      <c r="BV4571" s="32">
        <f t="shared" ca="1" si="71"/>
        <v>121</v>
      </c>
    </row>
    <row r="4572" spans="74:74" x14ac:dyDescent="0.3">
      <c r="BV4572" s="32">
        <f t="shared" ca="1" si="71"/>
        <v>121</v>
      </c>
    </row>
    <row r="4573" spans="74:74" x14ac:dyDescent="0.3">
      <c r="BV4573" s="32">
        <f t="shared" ca="1" si="71"/>
        <v>121</v>
      </c>
    </row>
    <row r="4574" spans="74:74" x14ac:dyDescent="0.3">
      <c r="BV4574" s="32">
        <f t="shared" ca="1" si="71"/>
        <v>121</v>
      </c>
    </row>
    <row r="4575" spans="74:74" x14ac:dyDescent="0.3">
      <c r="BV4575" s="32">
        <f t="shared" ca="1" si="71"/>
        <v>121</v>
      </c>
    </row>
    <row r="4576" spans="74:74" x14ac:dyDescent="0.3">
      <c r="BV4576" s="32">
        <f t="shared" ca="1" si="71"/>
        <v>121</v>
      </c>
    </row>
    <row r="4577" spans="74:74" x14ac:dyDescent="0.3">
      <c r="BV4577" s="32">
        <f t="shared" ca="1" si="71"/>
        <v>121</v>
      </c>
    </row>
    <row r="4578" spans="74:74" x14ac:dyDescent="0.3">
      <c r="BV4578" s="32">
        <f t="shared" ca="1" si="71"/>
        <v>121</v>
      </c>
    </row>
    <row r="4579" spans="74:74" x14ac:dyDescent="0.3">
      <c r="BV4579" s="32">
        <f t="shared" ca="1" si="71"/>
        <v>121</v>
      </c>
    </row>
    <row r="4580" spans="74:74" x14ac:dyDescent="0.3">
      <c r="BV4580" s="32">
        <f t="shared" ca="1" si="71"/>
        <v>121</v>
      </c>
    </row>
    <row r="4581" spans="74:74" x14ac:dyDescent="0.3">
      <c r="BV4581" s="32">
        <f t="shared" ca="1" si="71"/>
        <v>121</v>
      </c>
    </row>
    <row r="4582" spans="74:74" x14ac:dyDescent="0.3">
      <c r="BV4582" s="32">
        <f t="shared" ca="1" si="71"/>
        <v>121</v>
      </c>
    </row>
    <row r="4583" spans="74:74" x14ac:dyDescent="0.3">
      <c r="BV4583" s="32">
        <f t="shared" ca="1" si="71"/>
        <v>121</v>
      </c>
    </row>
    <row r="4584" spans="74:74" x14ac:dyDescent="0.3">
      <c r="BV4584" s="32">
        <f t="shared" ca="1" si="71"/>
        <v>121</v>
      </c>
    </row>
    <row r="4585" spans="74:74" x14ac:dyDescent="0.3">
      <c r="BV4585" s="32">
        <f t="shared" ca="1" si="71"/>
        <v>121</v>
      </c>
    </row>
    <row r="4586" spans="74:74" x14ac:dyDescent="0.3">
      <c r="BV4586" s="32">
        <f t="shared" ca="1" si="71"/>
        <v>121</v>
      </c>
    </row>
    <row r="4587" spans="74:74" x14ac:dyDescent="0.3">
      <c r="BV4587" s="32">
        <f t="shared" ca="1" si="71"/>
        <v>121</v>
      </c>
    </row>
    <row r="4588" spans="74:74" x14ac:dyDescent="0.3">
      <c r="BV4588" s="32">
        <f t="shared" ca="1" si="71"/>
        <v>121</v>
      </c>
    </row>
    <row r="4589" spans="74:74" x14ac:dyDescent="0.3">
      <c r="BV4589" s="32">
        <f t="shared" ca="1" si="71"/>
        <v>121</v>
      </c>
    </row>
    <row r="4590" spans="74:74" x14ac:dyDescent="0.3">
      <c r="BV4590" s="32">
        <f t="shared" ca="1" si="71"/>
        <v>121</v>
      </c>
    </row>
    <row r="4591" spans="74:74" x14ac:dyDescent="0.3">
      <c r="BV4591" s="32">
        <f t="shared" ca="1" si="71"/>
        <v>121</v>
      </c>
    </row>
    <row r="4592" spans="74:74" x14ac:dyDescent="0.3">
      <c r="BV4592" s="32">
        <f t="shared" ca="1" si="71"/>
        <v>121</v>
      </c>
    </row>
    <row r="4593" spans="74:74" x14ac:dyDescent="0.3">
      <c r="BV4593" s="32">
        <f t="shared" ca="1" si="71"/>
        <v>121</v>
      </c>
    </row>
    <row r="4594" spans="74:74" x14ac:dyDescent="0.3">
      <c r="BV4594" s="32">
        <f t="shared" ca="1" si="71"/>
        <v>121</v>
      </c>
    </row>
    <row r="4595" spans="74:74" x14ac:dyDescent="0.3">
      <c r="BV4595" s="32">
        <f t="shared" ca="1" si="71"/>
        <v>121</v>
      </c>
    </row>
    <row r="4596" spans="74:74" x14ac:dyDescent="0.3">
      <c r="BV4596" s="32">
        <f t="shared" ca="1" si="71"/>
        <v>121</v>
      </c>
    </row>
    <row r="4597" spans="74:74" x14ac:dyDescent="0.3">
      <c r="BV4597" s="32">
        <f t="shared" ca="1" si="71"/>
        <v>121</v>
      </c>
    </row>
    <row r="4598" spans="74:74" x14ac:dyDescent="0.3">
      <c r="BV4598" s="32">
        <f t="shared" ca="1" si="71"/>
        <v>121</v>
      </c>
    </row>
    <row r="4599" spans="74:74" x14ac:dyDescent="0.3">
      <c r="BV4599" s="32">
        <f t="shared" ca="1" si="71"/>
        <v>121</v>
      </c>
    </row>
    <row r="4600" spans="74:74" x14ac:dyDescent="0.3">
      <c r="BV4600" s="32">
        <f t="shared" ca="1" si="71"/>
        <v>121</v>
      </c>
    </row>
    <row r="4601" spans="74:74" x14ac:dyDescent="0.3">
      <c r="BV4601" s="32">
        <f t="shared" ca="1" si="71"/>
        <v>121</v>
      </c>
    </row>
    <row r="4602" spans="74:74" x14ac:dyDescent="0.3">
      <c r="BV4602" s="32">
        <f t="shared" ca="1" si="71"/>
        <v>121</v>
      </c>
    </row>
    <row r="4603" spans="74:74" x14ac:dyDescent="0.3">
      <c r="BV4603" s="32">
        <f t="shared" ca="1" si="71"/>
        <v>121</v>
      </c>
    </row>
    <row r="4604" spans="74:74" x14ac:dyDescent="0.3">
      <c r="BV4604" s="32">
        <f t="shared" ca="1" si="71"/>
        <v>121</v>
      </c>
    </row>
    <row r="4605" spans="74:74" x14ac:dyDescent="0.3">
      <c r="BV4605" s="32">
        <f t="shared" ca="1" si="71"/>
        <v>121</v>
      </c>
    </row>
    <row r="4606" spans="74:74" x14ac:dyDescent="0.3">
      <c r="BV4606" s="32">
        <f t="shared" ca="1" si="71"/>
        <v>121</v>
      </c>
    </row>
    <row r="4607" spans="74:74" x14ac:dyDescent="0.3">
      <c r="BV4607" s="32">
        <f t="shared" ca="1" si="71"/>
        <v>121</v>
      </c>
    </row>
    <row r="4608" spans="74:74" x14ac:dyDescent="0.3">
      <c r="BV4608" s="32">
        <f t="shared" ca="1" si="71"/>
        <v>121</v>
      </c>
    </row>
    <row r="4609" spans="74:74" x14ac:dyDescent="0.3">
      <c r="BV4609" s="32">
        <f t="shared" ca="1" si="71"/>
        <v>121</v>
      </c>
    </row>
    <row r="4610" spans="74:74" x14ac:dyDescent="0.3">
      <c r="BV4610" s="32">
        <f t="shared" ca="1" si="71"/>
        <v>121</v>
      </c>
    </row>
    <row r="4611" spans="74:74" x14ac:dyDescent="0.3">
      <c r="BV4611" s="32">
        <f t="shared" ca="1" si="71"/>
        <v>121</v>
      </c>
    </row>
    <row r="4612" spans="74:74" x14ac:dyDescent="0.3">
      <c r="BV4612" s="32">
        <f t="shared" ca="1" si="71"/>
        <v>121</v>
      </c>
    </row>
    <row r="4613" spans="74:74" x14ac:dyDescent="0.3">
      <c r="BV4613" s="32">
        <f t="shared" ca="1" si="71"/>
        <v>121</v>
      </c>
    </row>
    <row r="4614" spans="74:74" x14ac:dyDescent="0.3">
      <c r="BV4614" s="32">
        <f t="shared" ca="1" si="71"/>
        <v>121</v>
      </c>
    </row>
    <row r="4615" spans="74:74" x14ac:dyDescent="0.3">
      <c r="BV4615" s="32">
        <f t="shared" ca="1" si="71"/>
        <v>121</v>
      </c>
    </row>
    <row r="4616" spans="74:74" x14ac:dyDescent="0.3">
      <c r="BV4616" s="32">
        <f t="shared" ca="1" si="71"/>
        <v>121</v>
      </c>
    </row>
    <row r="4617" spans="74:74" x14ac:dyDescent="0.3">
      <c r="BV4617" s="32">
        <f t="shared" ca="1" si="71"/>
        <v>121</v>
      </c>
    </row>
    <row r="4618" spans="74:74" x14ac:dyDescent="0.3">
      <c r="BV4618" s="32">
        <f t="shared" ca="1" si="71"/>
        <v>121</v>
      </c>
    </row>
    <row r="4619" spans="74:74" x14ac:dyDescent="0.3">
      <c r="BV4619" s="32">
        <f t="shared" ca="1" si="71"/>
        <v>121</v>
      </c>
    </row>
    <row r="4620" spans="74:74" x14ac:dyDescent="0.3">
      <c r="BV4620" s="32">
        <f t="shared" ca="1" si="71"/>
        <v>121</v>
      </c>
    </row>
    <row r="4621" spans="74:74" x14ac:dyDescent="0.3">
      <c r="BV4621" s="32">
        <f t="shared" ref="BV4621:BV4684" ca="1" si="72">INT((TODAY()-$I4621)/365)</f>
        <v>121</v>
      </c>
    </row>
    <row r="4622" spans="74:74" x14ac:dyDescent="0.3">
      <c r="BV4622" s="32">
        <f t="shared" ca="1" si="72"/>
        <v>121</v>
      </c>
    </row>
    <row r="4623" spans="74:74" x14ac:dyDescent="0.3">
      <c r="BV4623" s="32">
        <f t="shared" ca="1" si="72"/>
        <v>121</v>
      </c>
    </row>
    <row r="4624" spans="74:74" x14ac:dyDescent="0.3">
      <c r="BV4624" s="32">
        <f t="shared" ca="1" si="72"/>
        <v>121</v>
      </c>
    </row>
    <row r="4625" spans="74:74" x14ac:dyDescent="0.3">
      <c r="BV4625" s="32">
        <f t="shared" ca="1" si="72"/>
        <v>121</v>
      </c>
    </row>
    <row r="4626" spans="74:74" x14ac:dyDescent="0.3">
      <c r="BV4626" s="32">
        <f t="shared" ca="1" si="72"/>
        <v>121</v>
      </c>
    </row>
    <row r="4627" spans="74:74" x14ac:dyDescent="0.3">
      <c r="BV4627" s="32">
        <f t="shared" ca="1" si="72"/>
        <v>121</v>
      </c>
    </row>
    <row r="4628" spans="74:74" x14ac:dyDescent="0.3">
      <c r="BV4628" s="32">
        <f t="shared" ca="1" si="72"/>
        <v>121</v>
      </c>
    </row>
    <row r="4629" spans="74:74" x14ac:dyDescent="0.3">
      <c r="BV4629" s="32">
        <f t="shared" ca="1" si="72"/>
        <v>121</v>
      </c>
    </row>
    <row r="4630" spans="74:74" x14ac:dyDescent="0.3">
      <c r="BV4630" s="32">
        <f t="shared" ca="1" si="72"/>
        <v>121</v>
      </c>
    </row>
    <row r="4631" spans="74:74" x14ac:dyDescent="0.3">
      <c r="BV4631" s="32">
        <f t="shared" ca="1" si="72"/>
        <v>121</v>
      </c>
    </row>
    <row r="4632" spans="74:74" x14ac:dyDescent="0.3">
      <c r="BV4632" s="32">
        <f t="shared" ca="1" si="72"/>
        <v>121</v>
      </c>
    </row>
    <row r="4633" spans="74:74" x14ac:dyDescent="0.3">
      <c r="BV4633" s="32">
        <f t="shared" ca="1" si="72"/>
        <v>121</v>
      </c>
    </row>
    <row r="4634" spans="74:74" x14ac:dyDescent="0.3">
      <c r="BV4634" s="32">
        <f t="shared" ca="1" si="72"/>
        <v>121</v>
      </c>
    </row>
    <row r="4635" spans="74:74" x14ac:dyDescent="0.3">
      <c r="BV4635" s="32">
        <f t="shared" ca="1" si="72"/>
        <v>121</v>
      </c>
    </row>
    <row r="4636" spans="74:74" x14ac:dyDescent="0.3">
      <c r="BV4636" s="32">
        <f t="shared" ca="1" si="72"/>
        <v>121</v>
      </c>
    </row>
    <row r="4637" spans="74:74" x14ac:dyDescent="0.3">
      <c r="BV4637" s="32">
        <f t="shared" ca="1" si="72"/>
        <v>121</v>
      </c>
    </row>
    <row r="4638" spans="74:74" x14ac:dyDescent="0.3">
      <c r="BV4638" s="32">
        <f t="shared" ca="1" si="72"/>
        <v>121</v>
      </c>
    </row>
    <row r="4639" spans="74:74" x14ac:dyDescent="0.3">
      <c r="BV4639" s="32">
        <f t="shared" ca="1" si="72"/>
        <v>121</v>
      </c>
    </row>
    <row r="4640" spans="74:74" x14ac:dyDescent="0.3">
      <c r="BV4640" s="32">
        <f t="shared" ca="1" si="72"/>
        <v>121</v>
      </c>
    </row>
    <row r="4641" spans="74:74" x14ac:dyDescent="0.3">
      <c r="BV4641" s="32">
        <f t="shared" ca="1" si="72"/>
        <v>121</v>
      </c>
    </row>
    <row r="4642" spans="74:74" x14ac:dyDescent="0.3">
      <c r="BV4642" s="32">
        <f t="shared" ca="1" si="72"/>
        <v>121</v>
      </c>
    </row>
    <row r="4643" spans="74:74" x14ac:dyDescent="0.3">
      <c r="BV4643" s="32">
        <f t="shared" ca="1" si="72"/>
        <v>121</v>
      </c>
    </row>
    <row r="4644" spans="74:74" x14ac:dyDescent="0.3">
      <c r="BV4644" s="32">
        <f t="shared" ca="1" si="72"/>
        <v>121</v>
      </c>
    </row>
    <row r="4645" spans="74:74" x14ac:dyDescent="0.3">
      <c r="BV4645" s="32">
        <f t="shared" ca="1" si="72"/>
        <v>121</v>
      </c>
    </row>
    <row r="4646" spans="74:74" x14ac:dyDescent="0.3">
      <c r="BV4646" s="32">
        <f t="shared" ca="1" si="72"/>
        <v>121</v>
      </c>
    </row>
    <row r="4647" spans="74:74" x14ac:dyDescent="0.3">
      <c r="BV4647" s="32">
        <f t="shared" ca="1" si="72"/>
        <v>121</v>
      </c>
    </row>
    <row r="4648" spans="74:74" x14ac:dyDescent="0.3">
      <c r="BV4648" s="32">
        <f t="shared" ca="1" si="72"/>
        <v>121</v>
      </c>
    </row>
    <row r="4649" spans="74:74" x14ac:dyDescent="0.3">
      <c r="BV4649" s="32">
        <f t="shared" ca="1" si="72"/>
        <v>121</v>
      </c>
    </row>
    <row r="4650" spans="74:74" x14ac:dyDescent="0.3">
      <c r="BV4650" s="32">
        <f t="shared" ca="1" si="72"/>
        <v>121</v>
      </c>
    </row>
    <row r="4651" spans="74:74" x14ac:dyDescent="0.3">
      <c r="BV4651" s="32">
        <f t="shared" ca="1" si="72"/>
        <v>121</v>
      </c>
    </row>
    <row r="4652" spans="74:74" x14ac:dyDescent="0.3">
      <c r="BV4652" s="32">
        <f t="shared" ca="1" si="72"/>
        <v>121</v>
      </c>
    </row>
    <row r="4653" spans="74:74" x14ac:dyDescent="0.3">
      <c r="BV4653" s="32">
        <f t="shared" ca="1" si="72"/>
        <v>121</v>
      </c>
    </row>
    <row r="4654" spans="74:74" x14ac:dyDescent="0.3">
      <c r="BV4654" s="32">
        <f t="shared" ca="1" si="72"/>
        <v>121</v>
      </c>
    </row>
    <row r="4655" spans="74:74" x14ac:dyDescent="0.3">
      <c r="BV4655" s="32">
        <f t="shared" ca="1" si="72"/>
        <v>121</v>
      </c>
    </row>
    <row r="4656" spans="74:74" x14ac:dyDescent="0.3">
      <c r="BV4656" s="32">
        <f t="shared" ca="1" si="72"/>
        <v>121</v>
      </c>
    </row>
    <row r="4657" spans="74:74" x14ac:dyDescent="0.3">
      <c r="BV4657" s="32">
        <f t="shared" ca="1" si="72"/>
        <v>121</v>
      </c>
    </row>
    <row r="4658" spans="74:74" x14ac:dyDescent="0.3">
      <c r="BV4658" s="32">
        <f t="shared" ca="1" si="72"/>
        <v>121</v>
      </c>
    </row>
    <row r="4659" spans="74:74" x14ac:dyDescent="0.3">
      <c r="BV4659" s="32">
        <f t="shared" ca="1" si="72"/>
        <v>121</v>
      </c>
    </row>
    <row r="4660" spans="74:74" x14ac:dyDescent="0.3">
      <c r="BV4660" s="32">
        <f t="shared" ca="1" si="72"/>
        <v>121</v>
      </c>
    </row>
    <row r="4661" spans="74:74" x14ac:dyDescent="0.3">
      <c r="BV4661" s="32">
        <f t="shared" ca="1" si="72"/>
        <v>121</v>
      </c>
    </row>
    <row r="4662" spans="74:74" x14ac:dyDescent="0.3">
      <c r="BV4662" s="32">
        <f t="shared" ca="1" si="72"/>
        <v>121</v>
      </c>
    </row>
    <row r="4663" spans="74:74" x14ac:dyDescent="0.3">
      <c r="BV4663" s="32">
        <f t="shared" ca="1" si="72"/>
        <v>121</v>
      </c>
    </row>
    <row r="4664" spans="74:74" x14ac:dyDescent="0.3">
      <c r="BV4664" s="32">
        <f t="shared" ca="1" si="72"/>
        <v>121</v>
      </c>
    </row>
    <row r="4665" spans="74:74" x14ac:dyDescent="0.3">
      <c r="BV4665" s="32">
        <f t="shared" ca="1" si="72"/>
        <v>121</v>
      </c>
    </row>
    <row r="4666" spans="74:74" x14ac:dyDescent="0.3">
      <c r="BV4666" s="32">
        <f t="shared" ca="1" si="72"/>
        <v>121</v>
      </c>
    </row>
    <row r="4667" spans="74:74" x14ac:dyDescent="0.3">
      <c r="BV4667" s="32">
        <f t="shared" ca="1" si="72"/>
        <v>121</v>
      </c>
    </row>
    <row r="4668" spans="74:74" x14ac:dyDescent="0.3">
      <c r="BV4668" s="32">
        <f t="shared" ca="1" si="72"/>
        <v>121</v>
      </c>
    </row>
    <row r="4669" spans="74:74" x14ac:dyDescent="0.3">
      <c r="BV4669" s="32">
        <f t="shared" ca="1" si="72"/>
        <v>121</v>
      </c>
    </row>
    <row r="4670" spans="74:74" x14ac:dyDescent="0.3">
      <c r="BV4670" s="32">
        <f t="shared" ca="1" si="72"/>
        <v>121</v>
      </c>
    </row>
    <row r="4671" spans="74:74" x14ac:dyDescent="0.3">
      <c r="BV4671" s="32">
        <f t="shared" ca="1" si="72"/>
        <v>121</v>
      </c>
    </row>
    <row r="4672" spans="74:74" x14ac:dyDescent="0.3">
      <c r="BV4672" s="32">
        <f t="shared" ca="1" si="72"/>
        <v>121</v>
      </c>
    </row>
    <row r="4673" spans="74:74" x14ac:dyDescent="0.3">
      <c r="BV4673" s="32">
        <f t="shared" ca="1" si="72"/>
        <v>121</v>
      </c>
    </row>
    <row r="4674" spans="74:74" x14ac:dyDescent="0.3">
      <c r="BV4674" s="32">
        <f t="shared" ca="1" si="72"/>
        <v>121</v>
      </c>
    </row>
    <row r="4675" spans="74:74" x14ac:dyDescent="0.3">
      <c r="BV4675" s="32">
        <f t="shared" ca="1" si="72"/>
        <v>121</v>
      </c>
    </row>
    <row r="4676" spans="74:74" x14ac:dyDescent="0.3">
      <c r="BV4676" s="32">
        <f t="shared" ca="1" si="72"/>
        <v>121</v>
      </c>
    </row>
    <row r="4677" spans="74:74" x14ac:dyDescent="0.3">
      <c r="BV4677" s="32">
        <f t="shared" ca="1" si="72"/>
        <v>121</v>
      </c>
    </row>
    <row r="4678" spans="74:74" x14ac:dyDescent="0.3">
      <c r="BV4678" s="32">
        <f t="shared" ca="1" si="72"/>
        <v>121</v>
      </c>
    </row>
    <row r="4679" spans="74:74" x14ac:dyDescent="0.3">
      <c r="BV4679" s="32">
        <f t="shared" ca="1" si="72"/>
        <v>121</v>
      </c>
    </row>
    <row r="4680" spans="74:74" x14ac:dyDescent="0.3">
      <c r="BV4680" s="32">
        <f t="shared" ca="1" si="72"/>
        <v>121</v>
      </c>
    </row>
    <row r="4681" spans="74:74" x14ac:dyDescent="0.3">
      <c r="BV4681" s="32">
        <f t="shared" ca="1" si="72"/>
        <v>121</v>
      </c>
    </row>
    <row r="4682" spans="74:74" x14ac:dyDescent="0.3">
      <c r="BV4682" s="32">
        <f t="shared" ca="1" si="72"/>
        <v>121</v>
      </c>
    </row>
    <row r="4683" spans="74:74" x14ac:dyDescent="0.3">
      <c r="BV4683" s="32">
        <f t="shared" ca="1" si="72"/>
        <v>121</v>
      </c>
    </row>
    <row r="4684" spans="74:74" x14ac:dyDescent="0.3">
      <c r="BV4684" s="32">
        <f t="shared" ca="1" si="72"/>
        <v>121</v>
      </c>
    </row>
    <row r="4685" spans="74:74" x14ac:dyDescent="0.3">
      <c r="BV4685" s="32">
        <f t="shared" ref="BV4685:BV4748" ca="1" si="73">INT((TODAY()-$I4685)/365)</f>
        <v>121</v>
      </c>
    </row>
    <row r="4686" spans="74:74" x14ac:dyDescent="0.3">
      <c r="BV4686" s="32">
        <f t="shared" ca="1" si="73"/>
        <v>121</v>
      </c>
    </row>
    <row r="4687" spans="74:74" x14ac:dyDescent="0.3">
      <c r="BV4687" s="32">
        <f t="shared" ca="1" si="73"/>
        <v>121</v>
      </c>
    </row>
    <row r="4688" spans="74:74" x14ac:dyDescent="0.3">
      <c r="BV4688" s="32">
        <f t="shared" ca="1" si="73"/>
        <v>121</v>
      </c>
    </row>
    <row r="4689" spans="74:74" x14ac:dyDescent="0.3">
      <c r="BV4689" s="32">
        <f t="shared" ca="1" si="73"/>
        <v>121</v>
      </c>
    </row>
    <row r="4690" spans="74:74" x14ac:dyDescent="0.3">
      <c r="BV4690" s="32">
        <f t="shared" ca="1" si="73"/>
        <v>121</v>
      </c>
    </row>
    <row r="4691" spans="74:74" x14ac:dyDescent="0.3">
      <c r="BV4691" s="32">
        <f t="shared" ca="1" si="73"/>
        <v>121</v>
      </c>
    </row>
    <row r="4692" spans="74:74" x14ac:dyDescent="0.3">
      <c r="BV4692" s="32">
        <f t="shared" ca="1" si="73"/>
        <v>121</v>
      </c>
    </row>
    <row r="4693" spans="74:74" x14ac:dyDescent="0.3">
      <c r="BV4693" s="32">
        <f t="shared" ca="1" si="73"/>
        <v>121</v>
      </c>
    </row>
    <row r="4694" spans="74:74" x14ac:dyDescent="0.3">
      <c r="BV4694" s="32">
        <f t="shared" ca="1" si="73"/>
        <v>121</v>
      </c>
    </row>
    <row r="4695" spans="74:74" x14ac:dyDescent="0.3">
      <c r="BV4695" s="32">
        <f t="shared" ca="1" si="73"/>
        <v>121</v>
      </c>
    </row>
    <row r="4696" spans="74:74" x14ac:dyDescent="0.3">
      <c r="BV4696" s="32">
        <f t="shared" ca="1" si="73"/>
        <v>121</v>
      </c>
    </row>
    <row r="4697" spans="74:74" x14ac:dyDescent="0.3">
      <c r="BV4697" s="32">
        <f t="shared" ca="1" si="73"/>
        <v>121</v>
      </c>
    </row>
    <row r="4698" spans="74:74" x14ac:dyDescent="0.3">
      <c r="BV4698" s="32">
        <f t="shared" ca="1" si="73"/>
        <v>121</v>
      </c>
    </row>
    <row r="4699" spans="74:74" x14ac:dyDescent="0.3">
      <c r="BV4699" s="32">
        <f t="shared" ca="1" si="73"/>
        <v>121</v>
      </c>
    </row>
    <row r="4700" spans="74:74" x14ac:dyDescent="0.3">
      <c r="BV4700" s="32">
        <f t="shared" ca="1" si="73"/>
        <v>121</v>
      </c>
    </row>
    <row r="4701" spans="74:74" x14ac:dyDescent="0.3">
      <c r="BV4701" s="32">
        <f t="shared" ca="1" si="73"/>
        <v>121</v>
      </c>
    </row>
    <row r="4702" spans="74:74" x14ac:dyDescent="0.3">
      <c r="BV4702" s="32">
        <f t="shared" ca="1" si="73"/>
        <v>121</v>
      </c>
    </row>
    <row r="4703" spans="74:74" x14ac:dyDescent="0.3">
      <c r="BV4703" s="32">
        <f t="shared" ca="1" si="73"/>
        <v>121</v>
      </c>
    </row>
    <row r="4704" spans="74:74" x14ac:dyDescent="0.3">
      <c r="BV4704" s="32">
        <f t="shared" ca="1" si="73"/>
        <v>121</v>
      </c>
    </row>
    <row r="4705" spans="74:74" x14ac:dyDescent="0.3">
      <c r="BV4705" s="32">
        <f t="shared" ca="1" si="73"/>
        <v>121</v>
      </c>
    </row>
    <row r="4706" spans="74:74" x14ac:dyDescent="0.3">
      <c r="BV4706" s="32">
        <f t="shared" ca="1" si="73"/>
        <v>121</v>
      </c>
    </row>
    <row r="4707" spans="74:74" x14ac:dyDescent="0.3">
      <c r="BV4707" s="32">
        <f t="shared" ca="1" si="73"/>
        <v>121</v>
      </c>
    </row>
    <row r="4708" spans="74:74" x14ac:dyDescent="0.3">
      <c r="BV4708" s="32">
        <f t="shared" ca="1" si="73"/>
        <v>121</v>
      </c>
    </row>
    <row r="4709" spans="74:74" x14ac:dyDescent="0.3">
      <c r="BV4709" s="32">
        <f t="shared" ca="1" si="73"/>
        <v>121</v>
      </c>
    </row>
    <row r="4710" spans="74:74" x14ac:dyDescent="0.3">
      <c r="BV4710" s="32">
        <f t="shared" ca="1" si="73"/>
        <v>121</v>
      </c>
    </row>
    <row r="4711" spans="74:74" x14ac:dyDescent="0.3">
      <c r="BV4711" s="32">
        <f t="shared" ca="1" si="73"/>
        <v>121</v>
      </c>
    </row>
    <row r="4712" spans="74:74" x14ac:dyDescent="0.3">
      <c r="BV4712" s="32">
        <f t="shared" ca="1" si="73"/>
        <v>121</v>
      </c>
    </row>
    <row r="4713" spans="74:74" x14ac:dyDescent="0.3">
      <c r="BV4713" s="32">
        <f t="shared" ca="1" si="73"/>
        <v>121</v>
      </c>
    </row>
    <row r="4714" spans="74:74" x14ac:dyDescent="0.3">
      <c r="BV4714" s="32">
        <f t="shared" ca="1" si="73"/>
        <v>121</v>
      </c>
    </row>
    <row r="4715" spans="74:74" x14ac:dyDescent="0.3">
      <c r="BV4715" s="32">
        <f t="shared" ca="1" si="73"/>
        <v>121</v>
      </c>
    </row>
    <row r="4716" spans="74:74" x14ac:dyDescent="0.3">
      <c r="BV4716" s="32">
        <f t="shared" ca="1" si="73"/>
        <v>121</v>
      </c>
    </row>
    <row r="4717" spans="74:74" x14ac:dyDescent="0.3">
      <c r="BV4717" s="32">
        <f t="shared" ca="1" si="73"/>
        <v>121</v>
      </c>
    </row>
    <row r="4718" spans="74:74" x14ac:dyDescent="0.3">
      <c r="BV4718" s="32">
        <f t="shared" ca="1" si="73"/>
        <v>121</v>
      </c>
    </row>
    <row r="4719" spans="74:74" x14ac:dyDescent="0.3">
      <c r="BV4719" s="32">
        <f t="shared" ca="1" si="73"/>
        <v>121</v>
      </c>
    </row>
    <row r="4720" spans="74:74" x14ac:dyDescent="0.3">
      <c r="BV4720" s="32">
        <f t="shared" ca="1" si="73"/>
        <v>121</v>
      </c>
    </row>
    <row r="4721" spans="74:74" x14ac:dyDescent="0.3">
      <c r="BV4721" s="32">
        <f t="shared" ca="1" si="73"/>
        <v>121</v>
      </c>
    </row>
    <row r="4722" spans="74:74" x14ac:dyDescent="0.3">
      <c r="BV4722" s="32">
        <f t="shared" ca="1" si="73"/>
        <v>121</v>
      </c>
    </row>
    <row r="4723" spans="74:74" x14ac:dyDescent="0.3">
      <c r="BV4723" s="32">
        <f t="shared" ca="1" si="73"/>
        <v>121</v>
      </c>
    </row>
    <row r="4724" spans="74:74" x14ac:dyDescent="0.3">
      <c r="BV4724" s="32">
        <f t="shared" ca="1" si="73"/>
        <v>121</v>
      </c>
    </row>
    <row r="4725" spans="74:74" x14ac:dyDescent="0.3">
      <c r="BV4725" s="32">
        <f t="shared" ca="1" si="73"/>
        <v>121</v>
      </c>
    </row>
    <row r="4726" spans="74:74" x14ac:dyDescent="0.3">
      <c r="BV4726" s="32">
        <f t="shared" ca="1" si="73"/>
        <v>121</v>
      </c>
    </row>
    <row r="4727" spans="74:74" x14ac:dyDescent="0.3">
      <c r="BV4727" s="32">
        <f t="shared" ca="1" si="73"/>
        <v>121</v>
      </c>
    </row>
    <row r="4728" spans="74:74" x14ac:dyDescent="0.3">
      <c r="BV4728" s="32">
        <f t="shared" ca="1" si="73"/>
        <v>121</v>
      </c>
    </row>
    <row r="4729" spans="74:74" x14ac:dyDescent="0.3">
      <c r="BV4729" s="32">
        <f t="shared" ca="1" si="73"/>
        <v>121</v>
      </c>
    </row>
    <row r="4730" spans="74:74" x14ac:dyDescent="0.3">
      <c r="BV4730" s="32">
        <f t="shared" ca="1" si="73"/>
        <v>121</v>
      </c>
    </row>
    <row r="4731" spans="74:74" x14ac:dyDescent="0.3">
      <c r="BV4731" s="32">
        <f t="shared" ca="1" si="73"/>
        <v>121</v>
      </c>
    </row>
    <row r="4732" spans="74:74" x14ac:dyDescent="0.3">
      <c r="BV4732" s="32">
        <f t="shared" ca="1" si="73"/>
        <v>121</v>
      </c>
    </row>
    <row r="4733" spans="74:74" x14ac:dyDescent="0.3">
      <c r="BV4733" s="32">
        <f t="shared" ca="1" si="73"/>
        <v>121</v>
      </c>
    </row>
    <row r="4734" spans="74:74" x14ac:dyDescent="0.3">
      <c r="BV4734" s="32">
        <f t="shared" ca="1" si="73"/>
        <v>121</v>
      </c>
    </row>
    <row r="4735" spans="74:74" x14ac:dyDescent="0.3">
      <c r="BV4735" s="32">
        <f t="shared" ca="1" si="73"/>
        <v>121</v>
      </c>
    </row>
    <row r="4736" spans="74:74" x14ac:dyDescent="0.3">
      <c r="BV4736" s="32">
        <f t="shared" ca="1" si="73"/>
        <v>121</v>
      </c>
    </row>
    <row r="4737" spans="74:74" x14ac:dyDescent="0.3">
      <c r="BV4737" s="32">
        <f t="shared" ca="1" si="73"/>
        <v>121</v>
      </c>
    </row>
    <row r="4738" spans="74:74" x14ac:dyDescent="0.3">
      <c r="BV4738" s="32">
        <f t="shared" ca="1" si="73"/>
        <v>121</v>
      </c>
    </row>
    <row r="4739" spans="74:74" x14ac:dyDescent="0.3">
      <c r="BV4739" s="32">
        <f t="shared" ca="1" si="73"/>
        <v>121</v>
      </c>
    </row>
    <row r="4740" spans="74:74" x14ac:dyDescent="0.3">
      <c r="BV4740" s="32">
        <f t="shared" ca="1" si="73"/>
        <v>121</v>
      </c>
    </row>
    <row r="4741" spans="74:74" x14ac:dyDescent="0.3">
      <c r="BV4741" s="32">
        <f t="shared" ca="1" si="73"/>
        <v>121</v>
      </c>
    </row>
    <row r="4742" spans="74:74" x14ac:dyDescent="0.3">
      <c r="BV4742" s="32">
        <f t="shared" ca="1" si="73"/>
        <v>121</v>
      </c>
    </row>
    <row r="4743" spans="74:74" x14ac:dyDescent="0.3">
      <c r="BV4743" s="32">
        <f t="shared" ca="1" si="73"/>
        <v>121</v>
      </c>
    </row>
    <row r="4744" spans="74:74" x14ac:dyDescent="0.3">
      <c r="BV4744" s="32">
        <f t="shared" ca="1" si="73"/>
        <v>121</v>
      </c>
    </row>
    <row r="4745" spans="74:74" x14ac:dyDescent="0.3">
      <c r="BV4745" s="32">
        <f t="shared" ca="1" si="73"/>
        <v>121</v>
      </c>
    </row>
    <row r="4746" spans="74:74" x14ac:dyDescent="0.3">
      <c r="BV4746" s="32">
        <f t="shared" ca="1" si="73"/>
        <v>121</v>
      </c>
    </row>
    <row r="4747" spans="74:74" x14ac:dyDescent="0.3">
      <c r="BV4747" s="32">
        <f t="shared" ca="1" si="73"/>
        <v>121</v>
      </c>
    </row>
    <row r="4748" spans="74:74" x14ac:dyDescent="0.3">
      <c r="BV4748" s="32">
        <f t="shared" ca="1" si="73"/>
        <v>121</v>
      </c>
    </row>
    <row r="4749" spans="74:74" x14ac:dyDescent="0.3">
      <c r="BV4749" s="32">
        <f t="shared" ref="BV4749:BV4812" ca="1" si="74">INT((TODAY()-$I4749)/365)</f>
        <v>121</v>
      </c>
    </row>
    <row r="4750" spans="74:74" x14ac:dyDescent="0.3">
      <c r="BV4750" s="32">
        <f t="shared" ca="1" si="74"/>
        <v>121</v>
      </c>
    </row>
    <row r="4751" spans="74:74" x14ac:dyDescent="0.3">
      <c r="BV4751" s="32">
        <f t="shared" ca="1" si="74"/>
        <v>121</v>
      </c>
    </row>
    <row r="4752" spans="74:74" x14ac:dyDescent="0.3">
      <c r="BV4752" s="32">
        <f t="shared" ca="1" si="74"/>
        <v>121</v>
      </c>
    </row>
    <row r="4753" spans="74:74" x14ac:dyDescent="0.3">
      <c r="BV4753" s="32">
        <f t="shared" ca="1" si="74"/>
        <v>121</v>
      </c>
    </row>
    <row r="4754" spans="74:74" x14ac:dyDescent="0.3">
      <c r="BV4754" s="32">
        <f t="shared" ca="1" si="74"/>
        <v>121</v>
      </c>
    </row>
    <row r="4755" spans="74:74" x14ac:dyDescent="0.3">
      <c r="BV4755" s="32">
        <f t="shared" ca="1" si="74"/>
        <v>121</v>
      </c>
    </row>
    <row r="4756" spans="74:74" x14ac:dyDescent="0.3">
      <c r="BV4756" s="32">
        <f t="shared" ca="1" si="74"/>
        <v>121</v>
      </c>
    </row>
    <row r="4757" spans="74:74" x14ac:dyDescent="0.3">
      <c r="BV4757" s="32">
        <f t="shared" ca="1" si="74"/>
        <v>121</v>
      </c>
    </row>
    <row r="4758" spans="74:74" x14ac:dyDescent="0.3">
      <c r="BV4758" s="32">
        <f t="shared" ca="1" si="74"/>
        <v>121</v>
      </c>
    </row>
    <row r="4759" spans="74:74" x14ac:dyDescent="0.3">
      <c r="BV4759" s="32">
        <f t="shared" ca="1" si="74"/>
        <v>121</v>
      </c>
    </row>
    <row r="4760" spans="74:74" x14ac:dyDescent="0.3">
      <c r="BV4760" s="32">
        <f t="shared" ca="1" si="74"/>
        <v>121</v>
      </c>
    </row>
    <row r="4761" spans="74:74" x14ac:dyDescent="0.3">
      <c r="BV4761" s="32">
        <f t="shared" ca="1" si="74"/>
        <v>121</v>
      </c>
    </row>
    <row r="4762" spans="74:74" x14ac:dyDescent="0.3">
      <c r="BV4762" s="32">
        <f t="shared" ca="1" si="74"/>
        <v>121</v>
      </c>
    </row>
    <row r="4763" spans="74:74" x14ac:dyDescent="0.3">
      <c r="BV4763" s="32">
        <f t="shared" ca="1" si="74"/>
        <v>121</v>
      </c>
    </row>
    <row r="4764" spans="74:74" x14ac:dyDescent="0.3">
      <c r="BV4764" s="32">
        <f t="shared" ca="1" si="74"/>
        <v>121</v>
      </c>
    </row>
    <row r="4765" spans="74:74" x14ac:dyDescent="0.3">
      <c r="BV4765" s="32">
        <f t="shared" ca="1" si="74"/>
        <v>121</v>
      </c>
    </row>
    <row r="4766" spans="74:74" x14ac:dyDescent="0.3">
      <c r="BV4766" s="32">
        <f t="shared" ca="1" si="74"/>
        <v>121</v>
      </c>
    </row>
    <row r="4767" spans="74:74" x14ac:dyDescent="0.3">
      <c r="BV4767" s="32">
        <f t="shared" ca="1" si="74"/>
        <v>121</v>
      </c>
    </row>
    <row r="4768" spans="74:74" x14ac:dyDescent="0.3">
      <c r="BV4768" s="32">
        <f t="shared" ca="1" si="74"/>
        <v>121</v>
      </c>
    </row>
    <row r="4769" spans="74:74" x14ac:dyDescent="0.3">
      <c r="BV4769" s="32">
        <f t="shared" ca="1" si="74"/>
        <v>121</v>
      </c>
    </row>
    <row r="4770" spans="74:74" x14ac:dyDescent="0.3">
      <c r="BV4770" s="32">
        <f t="shared" ca="1" si="74"/>
        <v>121</v>
      </c>
    </row>
    <row r="4771" spans="74:74" x14ac:dyDescent="0.3">
      <c r="BV4771" s="32">
        <f t="shared" ca="1" si="74"/>
        <v>121</v>
      </c>
    </row>
    <row r="4772" spans="74:74" x14ac:dyDescent="0.3">
      <c r="BV4772" s="32">
        <f t="shared" ca="1" si="74"/>
        <v>121</v>
      </c>
    </row>
    <row r="4773" spans="74:74" x14ac:dyDescent="0.3">
      <c r="BV4773" s="32">
        <f t="shared" ca="1" si="74"/>
        <v>121</v>
      </c>
    </row>
    <row r="4774" spans="74:74" x14ac:dyDescent="0.3">
      <c r="BV4774" s="32">
        <f t="shared" ca="1" si="74"/>
        <v>121</v>
      </c>
    </row>
    <row r="4775" spans="74:74" x14ac:dyDescent="0.3">
      <c r="BV4775" s="32">
        <f t="shared" ca="1" si="74"/>
        <v>121</v>
      </c>
    </row>
    <row r="4776" spans="74:74" x14ac:dyDescent="0.3">
      <c r="BV4776" s="32">
        <f t="shared" ca="1" si="74"/>
        <v>121</v>
      </c>
    </row>
    <row r="4777" spans="74:74" x14ac:dyDescent="0.3">
      <c r="BV4777" s="32">
        <f t="shared" ca="1" si="74"/>
        <v>121</v>
      </c>
    </row>
    <row r="4778" spans="74:74" x14ac:dyDescent="0.3">
      <c r="BV4778" s="32">
        <f t="shared" ca="1" si="74"/>
        <v>121</v>
      </c>
    </row>
    <row r="4779" spans="74:74" x14ac:dyDescent="0.3">
      <c r="BV4779" s="32">
        <f t="shared" ca="1" si="74"/>
        <v>121</v>
      </c>
    </row>
    <row r="4780" spans="74:74" x14ac:dyDescent="0.3">
      <c r="BV4780" s="32">
        <f t="shared" ca="1" si="74"/>
        <v>121</v>
      </c>
    </row>
    <row r="4781" spans="74:74" x14ac:dyDescent="0.3">
      <c r="BV4781" s="32">
        <f t="shared" ca="1" si="74"/>
        <v>121</v>
      </c>
    </row>
    <row r="4782" spans="74:74" x14ac:dyDescent="0.3">
      <c r="BV4782" s="32">
        <f t="shared" ca="1" si="74"/>
        <v>121</v>
      </c>
    </row>
    <row r="4783" spans="74:74" x14ac:dyDescent="0.3">
      <c r="BV4783" s="32">
        <f t="shared" ca="1" si="74"/>
        <v>121</v>
      </c>
    </row>
    <row r="4784" spans="74:74" x14ac:dyDescent="0.3">
      <c r="BV4784" s="32">
        <f t="shared" ca="1" si="74"/>
        <v>121</v>
      </c>
    </row>
    <row r="4785" spans="74:74" x14ac:dyDescent="0.3">
      <c r="BV4785" s="32">
        <f t="shared" ca="1" si="74"/>
        <v>121</v>
      </c>
    </row>
    <row r="4786" spans="74:74" x14ac:dyDescent="0.3">
      <c r="BV4786" s="32">
        <f t="shared" ca="1" si="74"/>
        <v>121</v>
      </c>
    </row>
    <row r="4787" spans="74:74" x14ac:dyDescent="0.3">
      <c r="BV4787" s="32">
        <f t="shared" ca="1" si="74"/>
        <v>121</v>
      </c>
    </row>
    <row r="4788" spans="74:74" x14ac:dyDescent="0.3">
      <c r="BV4788" s="32">
        <f t="shared" ca="1" si="74"/>
        <v>121</v>
      </c>
    </row>
    <row r="4789" spans="74:74" x14ac:dyDescent="0.3">
      <c r="BV4789" s="32">
        <f t="shared" ca="1" si="74"/>
        <v>121</v>
      </c>
    </row>
    <row r="4790" spans="74:74" x14ac:dyDescent="0.3">
      <c r="BV4790" s="32">
        <f t="shared" ca="1" si="74"/>
        <v>121</v>
      </c>
    </row>
    <row r="4791" spans="74:74" x14ac:dyDescent="0.3">
      <c r="BV4791" s="32">
        <f t="shared" ca="1" si="74"/>
        <v>121</v>
      </c>
    </row>
    <row r="4792" spans="74:74" x14ac:dyDescent="0.3">
      <c r="BV4792" s="32">
        <f t="shared" ca="1" si="74"/>
        <v>121</v>
      </c>
    </row>
    <row r="4793" spans="74:74" x14ac:dyDescent="0.3">
      <c r="BV4793" s="32">
        <f t="shared" ca="1" si="74"/>
        <v>121</v>
      </c>
    </row>
    <row r="4794" spans="74:74" x14ac:dyDescent="0.3">
      <c r="BV4794" s="32">
        <f t="shared" ca="1" si="74"/>
        <v>121</v>
      </c>
    </row>
    <row r="4795" spans="74:74" x14ac:dyDescent="0.3">
      <c r="BV4795" s="32">
        <f t="shared" ca="1" si="74"/>
        <v>121</v>
      </c>
    </row>
    <row r="4796" spans="74:74" x14ac:dyDescent="0.3">
      <c r="BV4796" s="32">
        <f t="shared" ca="1" si="74"/>
        <v>121</v>
      </c>
    </row>
    <row r="4797" spans="74:74" x14ac:dyDescent="0.3">
      <c r="BV4797" s="32">
        <f t="shared" ca="1" si="74"/>
        <v>121</v>
      </c>
    </row>
    <row r="4798" spans="74:74" x14ac:dyDescent="0.3">
      <c r="BV4798" s="32">
        <f t="shared" ca="1" si="74"/>
        <v>121</v>
      </c>
    </row>
    <row r="4799" spans="74:74" x14ac:dyDescent="0.3">
      <c r="BV4799" s="32">
        <f t="shared" ca="1" si="74"/>
        <v>121</v>
      </c>
    </row>
    <row r="4800" spans="74:74" x14ac:dyDescent="0.3">
      <c r="BV4800" s="32">
        <f t="shared" ca="1" si="74"/>
        <v>121</v>
      </c>
    </row>
    <row r="4801" spans="74:74" x14ac:dyDescent="0.3">
      <c r="BV4801" s="32">
        <f t="shared" ca="1" si="74"/>
        <v>121</v>
      </c>
    </row>
    <row r="4802" spans="74:74" x14ac:dyDescent="0.3">
      <c r="BV4802" s="32">
        <f t="shared" ca="1" si="74"/>
        <v>121</v>
      </c>
    </row>
    <row r="4803" spans="74:74" x14ac:dyDescent="0.3">
      <c r="BV4803" s="32">
        <f t="shared" ca="1" si="74"/>
        <v>121</v>
      </c>
    </row>
    <row r="4804" spans="74:74" x14ac:dyDescent="0.3">
      <c r="BV4804" s="32">
        <f t="shared" ca="1" si="74"/>
        <v>121</v>
      </c>
    </row>
    <row r="4805" spans="74:74" x14ac:dyDescent="0.3">
      <c r="BV4805" s="32">
        <f t="shared" ca="1" si="74"/>
        <v>121</v>
      </c>
    </row>
    <row r="4806" spans="74:74" x14ac:dyDescent="0.3">
      <c r="BV4806" s="32">
        <f t="shared" ca="1" si="74"/>
        <v>121</v>
      </c>
    </row>
    <row r="4807" spans="74:74" x14ac:dyDescent="0.3">
      <c r="BV4807" s="32">
        <f t="shared" ca="1" si="74"/>
        <v>121</v>
      </c>
    </row>
    <row r="4808" spans="74:74" x14ac:dyDescent="0.3">
      <c r="BV4808" s="32">
        <f t="shared" ca="1" si="74"/>
        <v>121</v>
      </c>
    </row>
    <row r="4809" spans="74:74" x14ac:dyDescent="0.3">
      <c r="BV4809" s="32">
        <f t="shared" ca="1" si="74"/>
        <v>121</v>
      </c>
    </row>
    <row r="4810" spans="74:74" x14ac:dyDescent="0.3">
      <c r="BV4810" s="32">
        <f t="shared" ca="1" si="74"/>
        <v>121</v>
      </c>
    </row>
    <row r="4811" spans="74:74" x14ac:dyDescent="0.3">
      <c r="BV4811" s="32">
        <f t="shared" ca="1" si="74"/>
        <v>121</v>
      </c>
    </row>
    <row r="4812" spans="74:74" x14ac:dyDescent="0.3">
      <c r="BV4812" s="32">
        <f t="shared" ca="1" si="74"/>
        <v>121</v>
      </c>
    </row>
    <row r="4813" spans="74:74" x14ac:dyDescent="0.3">
      <c r="BV4813" s="32">
        <f t="shared" ref="BV4813:BV4876" ca="1" si="75">INT((TODAY()-$I4813)/365)</f>
        <v>121</v>
      </c>
    </row>
    <row r="4814" spans="74:74" x14ac:dyDescent="0.3">
      <c r="BV4814" s="32">
        <f t="shared" ca="1" si="75"/>
        <v>121</v>
      </c>
    </row>
    <row r="4815" spans="74:74" x14ac:dyDescent="0.3">
      <c r="BV4815" s="32">
        <f t="shared" ca="1" si="75"/>
        <v>121</v>
      </c>
    </row>
    <row r="4816" spans="74:74" x14ac:dyDescent="0.3">
      <c r="BV4816" s="32">
        <f t="shared" ca="1" si="75"/>
        <v>121</v>
      </c>
    </row>
    <row r="4817" spans="74:74" x14ac:dyDescent="0.3">
      <c r="BV4817" s="32">
        <f t="shared" ca="1" si="75"/>
        <v>121</v>
      </c>
    </row>
    <row r="4818" spans="74:74" x14ac:dyDescent="0.3">
      <c r="BV4818" s="32">
        <f t="shared" ca="1" si="75"/>
        <v>121</v>
      </c>
    </row>
    <row r="4819" spans="74:74" x14ac:dyDescent="0.3">
      <c r="BV4819" s="32">
        <f t="shared" ca="1" si="75"/>
        <v>121</v>
      </c>
    </row>
    <row r="4820" spans="74:74" x14ac:dyDescent="0.3">
      <c r="BV4820" s="32">
        <f t="shared" ca="1" si="75"/>
        <v>121</v>
      </c>
    </row>
    <row r="4821" spans="74:74" x14ac:dyDescent="0.3">
      <c r="BV4821" s="32">
        <f t="shared" ca="1" si="75"/>
        <v>121</v>
      </c>
    </row>
    <row r="4822" spans="74:74" x14ac:dyDescent="0.3">
      <c r="BV4822" s="32">
        <f t="shared" ca="1" si="75"/>
        <v>121</v>
      </c>
    </row>
    <row r="4823" spans="74:74" x14ac:dyDescent="0.3">
      <c r="BV4823" s="32">
        <f t="shared" ca="1" si="75"/>
        <v>121</v>
      </c>
    </row>
    <row r="4824" spans="74:74" x14ac:dyDescent="0.3">
      <c r="BV4824" s="32">
        <f t="shared" ca="1" si="75"/>
        <v>121</v>
      </c>
    </row>
    <row r="4825" spans="74:74" x14ac:dyDescent="0.3">
      <c r="BV4825" s="32">
        <f t="shared" ca="1" si="75"/>
        <v>121</v>
      </c>
    </row>
    <row r="4826" spans="74:74" x14ac:dyDescent="0.3">
      <c r="BV4826" s="32">
        <f t="shared" ca="1" si="75"/>
        <v>121</v>
      </c>
    </row>
    <row r="4827" spans="74:74" x14ac:dyDescent="0.3">
      <c r="BV4827" s="32">
        <f t="shared" ca="1" si="75"/>
        <v>121</v>
      </c>
    </row>
    <row r="4828" spans="74:74" x14ac:dyDescent="0.3">
      <c r="BV4828" s="32">
        <f t="shared" ca="1" si="75"/>
        <v>121</v>
      </c>
    </row>
    <row r="4829" spans="74:74" x14ac:dyDescent="0.3">
      <c r="BV4829" s="32">
        <f t="shared" ca="1" si="75"/>
        <v>121</v>
      </c>
    </row>
    <row r="4830" spans="74:74" x14ac:dyDescent="0.3">
      <c r="BV4830" s="32">
        <f t="shared" ca="1" si="75"/>
        <v>121</v>
      </c>
    </row>
    <row r="4831" spans="74:74" x14ac:dyDescent="0.3">
      <c r="BV4831" s="32">
        <f t="shared" ca="1" si="75"/>
        <v>121</v>
      </c>
    </row>
    <row r="4832" spans="74:74" x14ac:dyDescent="0.3">
      <c r="BV4832" s="32">
        <f t="shared" ca="1" si="75"/>
        <v>121</v>
      </c>
    </row>
    <row r="4833" spans="74:74" x14ac:dyDescent="0.3">
      <c r="BV4833" s="32">
        <f t="shared" ca="1" si="75"/>
        <v>121</v>
      </c>
    </row>
    <row r="4834" spans="74:74" x14ac:dyDescent="0.3">
      <c r="BV4834" s="32">
        <f t="shared" ca="1" si="75"/>
        <v>121</v>
      </c>
    </row>
    <row r="4835" spans="74:74" x14ac:dyDescent="0.3">
      <c r="BV4835" s="32">
        <f t="shared" ca="1" si="75"/>
        <v>121</v>
      </c>
    </row>
    <row r="4836" spans="74:74" x14ac:dyDescent="0.3">
      <c r="BV4836" s="32">
        <f t="shared" ca="1" si="75"/>
        <v>121</v>
      </c>
    </row>
    <row r="4837" spans="74:74" x14ac:dyDescent="0.3">
      <c r="BV4837" s="32">
        <f t="shared" ca="1" si="75"/>
        <v>121</v>
      </c>
    </row>
    <row r="4838" spans="74:74" x14ac:dyDescent="0.3">
      <c r="BV4838" s="32">
        <f t="shared" ca="1" si="75"/>
        <v>121</v>
      </c>
    </row>
    <row r="4839" spans="74:74" x14ac:dyDescent="0.3">
      <c r="BV4839" s="32">
        <f t="shared" ca="1" si="75"/>
        <v>121</v>
      </c>
    </row>
    <row r="4840" spans="74:74" x14ac:dyDescent="0.3">
      <c r="BV4840" s="32">
        <f t="shared" ca="1" si="75"/>
        <v>121</v>
      </c>
    </row>
    <row r="4841" spans="74:74" x14ac:dyDescent="0.3">
      <c r="BV4841" s="32">
        <f t="shared" ca="1" si="75"/>
        <v>121</v>
      </c>
    </row>
    <row r="4842" spans="74:74" x14ac:dyDescent="0.3">
      <c r="BV4842" s="32">
        <f t="shared" ca="1" si="75"/>
        <v>121</v>
      </c>
    </row>
    <row r="4843" spans="74:74" x14ac:dyDescent="0.3">
      <c r="BV4843" s="32">
        <f t="shared" ca="1" si="75"/>
        <v>121</v>
      </c>
    </row>
    <row r="4844" spans="74:74" x14ac:dyDescent="0.3">
      <c r="BV4844" s="32">
        <f t="shared" ca="1" si="75"/>
        <v>121</v>
      </c>
    </row>
    <row r="4845" spans="74:74" x14ac:dyDescent="0.3">
      <c r="BV4845" s="32">
        <f t="shared" ca="1" si="75"/>
        <v>121</v>
      </c>
    </row>
    <row r="4846" spans="74:74" x14ac:dyDescent="0.3">
      <c r="BV4846" s="32">
        <f t="shared" ca="1" si="75"/>
        <v>121</v>
      </c>
    </row>
    <row r="4847" spans="74:74" x14ac:dyDescent="0.3">
      <c r="BV4847" s="32">
        <f t="shared" ca="1" si="75"/>
        <v>121</v>
      </c>
    </row>
    <row r="4848" spans="74:74" x14ac:dyDescent="0.3">
      <c r="BV4848" s="32">
        <f t="shared" ca="1" si="75"/>
        <v>121</v>
      </c>
    </row>
    <row r="4849" spans="74:74" x14ac:dyDescent="0.3">
      <c r="BV4849" s="32">
        <f t="shared" ca="1" si="75"/>
        <v>121</v>
      </c>
    </row>
    <row r="4850" spans="74:74" x14ac:dyDescent="0.3">
      <c r="BV4850" s="32">
        <f t="shared" ca="1" si="75"/>
        <v>121</v>
      </c>
    </row>
    <row r="4851" spans="74:74" x14ac:dyDescent="0.3">
      <c r="BV4851" s="32">
        <f t="shared" ca="1" si="75"/>
        <v>121</v>
      </c>
    </row>
    <row r="4852" spans="74:74" x14ac:dyDescent="0.3">
      <c r="BV4852" s="32">
        <f t="shared" ca="1" si="75"/>
        <v>121</v>
      </c>
    </row>
    <row r="4853" spans="74:74" x14ac:dyDescent="0.3">
      <c r="BV4853" s="32">
        <f t="shared" ca="1" si="75"/>
        <v>121</v>
      </c>
    </row>
    <row r="4854" spans="74:74" x14ac:dyDescent="0.3">
      <c r="BV4854" s="32">
        <f t="shared" ca="1" si="75"/>
        <v>121</v>
      </c>
    </row>
    <row r="4855" spans="74:74" x14ac:dyDescent="0.3">
      <c r="BV4855" s="32">
        <f t="shared" ca="1" si="75"/>
        <v>121</v>
      </c>
    </row>
    <row r="4856" spans="74:74" x14ac:dyDescent="0.3">
      <c r="BV4856" s="32">
        <f t="shared" ca="1" si="75"/>
        <v>121</v>
      </c>
    </row>
    <row r="4857" spans="74:74" x14ac:dyDescent="0.3">
      <c r="BV4857" s="32">
        <f t="shared" ca="1" si="75"/>
        <v>121</v>
      </c>
    </row>
    <row r="4858" spans="74:74" x14ac:dyDescent="0.3">
      <c r="BV4858" s="32">
        <f t="shared" ca="1" si="75"/>
        <v>121</v>
      </c>
    </row>
    <row r="4859" spans="74:74" x14ac:dyDescent="0.3">
      <c r="BV4859" s="32">
        <f t="shared" ca="1" si="75"/>
        <v>121</v>
      </c>
    </row>
    <row r="4860" spans="74:74" x14ac:dyDescent="0.3">
      <c r="BV4860" s="32">
        <f t="shared" ca="1" si="75"/>
        <v>121</v>
      </c>
    </row>
    <row r="4861" spans="74:74" x14ac:dyDescent="0.3">
      <c r="BV4861" s="32">
        <f t="shared" ca="1" si="75"/>
        <v>121</v>
      </c>
    </row>
    <row r="4862" spans="74:74" x14ac:dyDescent="0.3">
      <c r="BV4862" s="32">
        <f t="shared" ca="1" si="75"/>
        <v>121</v>
      </c>
    </row>
    <row r="4863" spans="74:74" x14ac:dyDescent="0.3">
      <c r="BV4863" s="32">
        <f t="shared" ca="1" si="75"/>
        <v>121</v>
      </c>
    </row>
    <row r="4864" spans="74:74" x14ac:dyDescent="0.3">
      <c r="BV4864" s="32">
        <f t="shared" ca="1" si="75"/>
        <v>121</v>
      </c>
    </row>
    <row r="4865" spans="74:74" x14ac:dyDescent="0.3">
      <c r="BV4865" s="32">
        <f t="shared" ca="1" si="75"/>
        <v>121</v>
      </c>
    </row>
    <row r="4866" spans="74:74" x14ac:dyDescent="0.3">
      <c r="BV4866" s="32">
        <f t="shared" ca="1" si="75"/>
        <v>121</v>
      </c>
    </row>
    <row r="4867" spans="74:74" x14ac:dyDescent="0.3">
      <c r="BV4867" s="32">
        <f t="shared" ca="1" si="75"/>
        <v>121</v>
      </c>
    </row>
    <row r="4868" spans="74:74" x14ac:dyDescent="0.3">
      <c r="BV4868" s="32">
        <f t="shared" ca="1" si="75"/>
        <v>121</v>
      </c>
    </row>
    <row r="4869" spans="74:74" x14ac:dyDescent="0.3">
      <c r="BV4869" s="32">
        <f t="shared" ca="1" si="75"/>
        <v>121</v>
      </c>
    </row>
    <row r="4870" spans="74:74" x14ac:dyDescent="0.3">
      <c r="BV4870" s="32">
        <f t="shared" ca="1" si="75"/>
        <v>121</v>
      </c>
    </row>
    <row r="4871" spans="74:74" x14ac:dyDescent="0.3">
      <c r="BV4871" s="32">
        <f t="shared" ca="1" si="75"/>
        <v>121</v>
      </c>
    </row>
    <row r="4872" spans="74:74" x14ac:dyDescent="0.3">
      <c r="BV4872" s="32">
        <f t="shared" ca="1" si="75"/>
        <v>121</v>
      </c>
    </row>
    <row r="4873" spans="74:74" x14ac:dyDescent="0.3">
      <c r="BV4873" s="32">
        <f t="shared" ca="1" si="75"/>
        <v>121</v>
      </c>
    </row>
    <row r="4874" spans="74:74" x14ac:dyDescent="0.3">
      <c r="BV4874" s="32">
        <f t="shared" ca="1" si="75"/>
        <v>121</v>
      </c>
    </row>
    <row r="4875" spans="74:74" x14ac:dyDescent="0.3">
      <c r="BV4875" s="32">
        <f t="shared" ca="1" si="75"/>
        <v>121</v>
      </c>
    </row>
    <row r="4876" spans="74:74" x14ac:dyDescent="0.3">
      <c r="BV4876" s="32">
        <f t="shared" ca="1" si="75"/>
        <v>121</v>
      </c>
    </row>
    <row r="4877" spans="74:74" x14ac:dyDescent="0.3">
      <c r="BV4877" s="32">
        <f t="shared" ref="BV4877:BV4940" ca="1" si="76">INT((TODAY()-$I4877)/365)</f>
        <v>121</v>
      </c>
    </row>
    <row r="4878" spans="74:74" x14ac:dyDescent="0.3">
      <c r="BV4878" s="32">
        <f t="shared" ca="1" si="76"/>
        <v>121</v>
      </c>
    </row>
    <row r="4879" spans="74:74" x14ac:dyDescent="0.3">
      <c r="BV4879" s="32">
        <f t="shared" ca="1" si="76"/>
        <v>121</v>
      </c>
    </row>
    <row r="4880" spans="74:74" x14ac:dyDescent="0.3">
      <c r="BV4880" s="32">
        <f t="shared" ca="1" si="76"/>
        <v>121</v>
      </c>
    </row>
    <row r="4881" spans="74:74" x14ac:dyDescent="0.3">
      <c r="BV4881" s="32">
        <f t="shared" ca="1" si="76"/>
        <v>121</v>
      </c>
    </row>
    <row r="4882" spans="74:74" x14ac:dyDescent="0.3">
      <c r="BV4882" s="32">
        <f t="shared" ca="1" si="76"/>
        <v>121</v>
      </c>
    </row>
    <row r="4883" spans="74:74" x14ac:dyDescent="0.3">
      <c r="BV4883" s="32">
        <f t="shared" ca="1" si="76"/>
        <v>121</v>
      </c>
    </row>
    <row r="4884" spans="74:74" x14ac:dyDescent="0.3">
      <c r="BV4884" s="32">
        <f t="shared" ca="1" si="76"/>
        <v>121</v>
      </c>
    </row>
    <row r="4885" spans="74:74" x14ac:dyDescent="0.3">
      <c r="BV4885" s="32">
        <f t="shared" ca="1" si="76"/>
        <v>121</v>
      </c>
    </row>
    <row r="4886" spans="74:74" x14ac:dyDescent="0.3">
      <c r="BV4886" s="32">
        <f t="shared" ca="1" si="76"/>
        <v>121</v>
      </c>
    </row>
    <row r="4887" spans="74:74" x14ac:dyDescent="0.3">
      <c r="BV4887" s="32">
        <f t="shared" ca="1" si="76"/>
        <v>121</v>
      </c>
    </row>
    <row r="4888" spans="74:74" x14ac:dyDescent="0.3">
      <c r="BV4888" s="32">
        <f t="shared" ca="1" si="76"/>
        <v>121</v>
      </c>
    </row>
    <row r="4889" spans="74:74" x14ac:dyDescent="0.3">
      <c r="BV4889" s="32">
        <f t="shared" ca="1" si="76"/>
        <v>121</v>
      </c>
    </row>
    <row r="4890" spans="74:74" x14ac:dyDescent="0.3">
      <c r="BV4890" s="32">
        <f t="shared" ca="1" si="76"/>
        <v>121</v>
      </c>
    </row>
    <row r="4891" spans="74:74" x14ac:dyDescent="0.3">
      <c r="BV4891" s="32">
        <f t="shared" ca="1" si="76"/>
        <v>121</v>
      </c>
    </row>
    <row r="4892" spans="74:74" x14ac:dyDescent="0.3">
      <c r="BV4892" s="32">
        <f t="shared" ca="1" si="76"/>
        <v>121</v>
      </c>
    </row>
    <row r="4893" spans="74:74" x14ac:dyDescent="0.3">
      <c r="BV4893" s="32">
        <f t="shared" ca="1" si="76"/>
        <v>121</v>
      </c>
    </row>
    <row r="4894" spans="74:74" x14ac:dyDescent="0.3">
      <c r="BV4894" s="32">
        <f t="shared" ca="1" si="76"/>
        <v>121</v>
      </c>
    </row>
    <row r="4895" spans="74:74" x14ac:dyDescent="0.3">
      <c r="BV4895" s="32">
        <f t="shared" ca="1" si="76"/>
        <v>121</v>
      </c>
    </row>
    <row r="4896" spans="74:74" x14ac:dyDescent="0.3">
      <c r="BV4896" s="32">
        <f t="shared" ca="1" si="76"/>
        <v>121</v>
      </c>
    </row>
    <row r="4897" spans="74:74" x14ac:dyDescent="0.3">
      <c r="BV4897" s="32">
        <f t="shared" ca="1" si="76"/>
        <v>121</v>
      </c>
    </row>
    <row r="4898" spans="74:74" x14ac:dyDescent="0.3">
      <c r="BV4898" s="32">
        <f t="shared" ca="1" si="76"/>
        <v>121</v>
      </c>
    </row>
    <row r="4899" spans="74:74" x14ac:dyDescent="0.3">
      <c r="BV4899" s="32">
        <f t="shared" ca="1" si="76"/>
        <v>121</v>
      </c>
    </row>
    <row r="4900" spans="74:74" x14ac:dyDescent="0.3">
      <c r="BV4900" s="32">
        <f t="shared" ca="1" si="76"/>
        <v>121</v>
      </c>
    </row>
    <row r="4901" spans="74:74" x14ac:dyDescent="0.3">
      <c r="BV4901" s="32">
        <f t="shared" ca="1" si="76"/>
        <v>121</v>
      </c>
    </row>
    <row r="4902" spans="74:74" x14ac:dyDescent="0.3">
      <c r="BV4902" s="32">
        <f t="shared" ca="1" si="76"/>
        <v>121</v>
      </c>
    </row>
    <row r="4903" spans="74:74" x14ac:dyDescent="0.3">
      <c r="BV4903" s="32">
        <f t="shared" ca="1" si="76"/>
        <v>121</v>
      </c>
    </row>
    <row r="4904" spans="74:74" x14ac:dyDescent="0.3">
      <c r="BV4904" s="32">
        <f t="shared" ca="1" si="76"/>
        <v>121</v>
      </c>
    </row>
    <row r="4905" spans="74:74" x14ac:dyDescent="0.3">
      <c r="BV4905" s="32">
        <f t="shared" ca="1" si="76"/>
        <v>121</v>
      </c>
    </row>
    <row r="4906" spans="74:74" x14ac:dyDescent="0.3">
      <c r="BV4906" s="32">
        <f t="shared" ca="1" si="76"/>
        <v>121</v>
      </c>
    </row>
    <row r="4907" spans="74:74" x14ac:dyDescent="0.3">
      <c r="BV4907" s="32">
        <f t="shared" ca="1" si="76"/>
        <v>121</v>
      </c>
    </row>
    <row r="4908" spans="74:74" x14ac:dyDescent="0.3">
      <c r="BV4908" s="32">
        <f t="shared" ca="1" si="76"/>
        <v>121</v>
      </c>
    </row>
    <row r="4909" spans="74:74" x14ac:dyDescent="0.3">
      <c r="BV4909" s="32">
        <f t="shared" ca="1" si="76"/>
        <v>121</v>
      </c>
    </row>
    <row r="4910" spans="74:74" x14ac:dyDescent="0.3">
      <c r="BV4910" s="32">
        <f t="shared" ca="1" si="76"/>
        <v>121</v>
      </c>
    </row>
    <row r="4911" spans="74:74" x14ac:dyDescent="0.3">
      <c r="BV4911" s="32">
        <f t="shared" ca="1" si="76"/>
        <v>121</v>
      </c>
    </row>
    <row r="4912" spans="74:74" x14ac:dyDescent="0.3">
      <c r="BV4912" s="32">
        <f t="shared" ca="1" si="76"/>
        <v>121</v>
      </c>
    </row>
    <row r="4913" spans="74:74" x14ac:dyDescent="0.3">
      <c r="BV4913" s="32">
        <f t="shared" ca="1" si="76"/>
        <v>121</v>
      </c>
    </row>
    <row r="4914" spans="74:74" x14ac:dyDescent="0.3">
      <c r="BV4914" s="32">
        <f t="shared" ca="1" si="76"/>
        <v>121</v>
      </c>
    </row>
    <row r="4915" spans="74:74" x14ac:dyDescent="0.3">
      <c r="BV4915" s="32">
        <f t="shared" ca="1" si="76"/>
        <v>121</v>
      </c>
    </row>
    <row r="4916" spans="74:74" x14ac:dyDescent="0.3">
      <c r="BV4916" s="32">
        <f t="shared" ca="1" si="76"/>
        <v>121</v>
      </c>
    </row>
    <row r="4917" spans="74:74" x14ac:dyDescent="0.3">
      <c r="BV4917" s="32">
        <f t="shared" ca="1" si="76"/>
        <v>121</v>
      </c>
    </row>
    <row r="4918" spans="74:74" x14ac:dyDescent="0.3">
      <c r="BV4918" s="32">
        <f t="shared" ca="1" si="76"/>
        <v>121</v>
      </c>
    </row>
    <row r="4919" spans="74:74" x14ac:dyDescent="0.3">
      <c r="BV4919" s="32">
        <f t="shared" ca="1" si="76"/>
        <v>121</v>
      </c>
    </row>
    <row r="4920" spans="74:74" x14ac:dyDescent="0.3">
      <c r="BV4920" s="32">
        <f t="shared" ca="1" si="76"/>
        <v>121</v>
      </c>
    </row>
    <row r="4921" spans="74:74" x14ac:dyDescent="0.3">
      <c r="BV4921" s="32">
        <f t="shared" ca="1" si="76"/>
        <v>121</v>
      </c>
    </row>
    <row r="4922" spans="74:74" x14ac:dyDescent="0.3">
      <c r="BV4922" s="32">
        <f t="shared" ca="1" si="76"/>
        <v>121</v>
      </c>
    </row>
    <row r="4923" spans="74:74" x14ac:dyDescent="0.3">
      <c r="BV4923" s="32">
        <f t="shared" ca="1" si="76"/>
        <v>121</v>
      </c>
    </row>
    <row r="4924" spans="74:74" x14ac:dyDescent="0.3">
      <c r="BV4924" s="32">
        <f t="shared" ca="1" si="76"/>
        <v>121</v>
      </c>
    </row>
    <row r="4925" spans="74:74" x14ac:dyDescent="0.3">
      <c r="BV4925" s="32">
        <f t="shared" ca="1" si="76"/>
        <v>121</v>
      </c>
    </row>
    <row r="4926" spans="74:74" x14ac:dyDescent="0.3">
      <c r="BV4926" s="32">
        <f t="shared" ca="1" si="76"/>
        <v>121</v>
      </c>
    </row>
    <row r="4927" spans="74:74" x14ac:dyDescent="0.3">
      <c r="BV4927" s="32">
        <f t="shared" ca="1" si="76"/>
        <v>121</v>
      </c>
    </row>
    <row r="4928" spans="74:74" x14ac:dyDescent="0.3">
      <c r="BV4928" s="32">
        <f t="shared" ca="1" si="76"/>
        <v>121</v>
      </c>
    </row>
    <row r="4929" spans="74:74" x14ac:dyDescent="0.3">
      <c r="BV4929" s="32">
        <f t="shared" ca="1" si="76"/>
        <v>121</v>
      </c>
    </row>
    <row r="4930" spans="74:74" x14ac:dyDescent="0.3">
      <c r="BV4930" s="32">
        <f t="shared" ca="1" si="76"/>
        <v>121</v>
      </c>
    </row>
    <row r="4931" spans="74:74" x14ac:dyDescent="0.3">
      <c r="BV4931" s="32">
        <f t="shared" ca="1" si="76"/>
        <v>121</v>
      </c>
    </row>
    <row r="4932" spans="74:74" x14ac:dyDescent="0.3">
      <c r="BV4932" s="32">
        <f t="shared" ca="1" si="76"/>
        <v>121</v>
      </c>
    </row>
    <row r="4933" spans="74:74" x14ac:dyDescent="0.3">
      <c r="BV4933" s="32">
        <f t="shared" ca="1" si="76"/>
        <v>121</v>
      </c>
    </row>
    <row r="4934" spans="74:74" x14ac:dyDescent="0.3">
      <c r="BV4934" s="32">
        <f t="shared" ca="1" si="76"/>
        <v>121</v>
      </c>
    </row>
    <row r="4935" spans="74:74" x14ac:dyDescent="0.3">
      <c r="BV4935" s="32">
        <f t="shared" ca="1" si="76"/>
        <v>121</v>
      </c>
    </row>
    <row r="4936" spans="74:74" x14ac:dyDescent="0.3">
      <c r="BV4936" s="32">
        <f t="shared" ca="1" si="76"/>
        <v>121</v>
      </c>
    </row>
    <row r="4937" spans="74:74" x14ac:dyDescent="0.3">
      <c r="BV4937" s="32">
        <f t="shared" ca="1" si="76"/>
        <v>121</v>
      </c>
    </row>
    <row r="4938" spans="74:74" x14ac:dyDescent="0.3">
      <c r="BV4938" s="32">
        <f t="shared" ca="1" si="76"/>
        <v>121</v>
      </c>
    </row>
    <row r="4939" spans="74:74" x14ac:dyDescent="0.3">
      <c r="BV4939" s="32">
        <f t="shared" ca="1" si="76"/>
        <v>121</v>
      </c>
    </row>
    <row r="4940" spans="74:74" x14ac:dyDescent="0.3">
      <c r="BV4940" s="32">
        <f t="shared" ca="1" si="76"/>
        <v>121</v>
      </c>
    </row>
    <row r="4941" spans="74:74" x14ac:dyDescent="0.3">
      <c r="BV4941" s="32">
        <f t="shared" ref="BV4941:BV5004" ca="1" si="77">INT((TODAY()-$I4941)/365)</f>
        <v>121</v>
      </c>
    </row>
    <row r="4942" spans="74:74" x14ac:dyDescent="0.3">
      <c r="BV4942" s="32">
        <f t="shared" ca="1" si="77"/>
        <v>121</v>
      </c>
    </row>
    <row r="4943" spans="74:74" x14ac:dyDescent="0.3">
      <c r="BV4943" s="32">
        <f t="shared" ca="1" si="77"/>
        <v>121</v>
      </c>
    </row>
    <row r="4944" spans="74:74" x14ac:dyDescent="0.3">
      <c r="BV4944" s="32">
        <f t="shared" ca="1" si="77"/>
        <v>121</v>
      </c>
    </row>
    <row r="4945" spans="74:74" x14ac:dyDescent="0.3">
      <c r="BV4945" s="32">
        <f t="shared" ca="1" si="77"/>
        <v>121</v>
      </c>
    </row>
    <row r="4946" spans="74:74" x14ac:dyDescent="0.3">
      <c r="BV4946" s="32">
        <f t="shared" ca="1" si="77"/>
        <v>121</v>
      </c>
    </row>
    <row r="4947" spans="74:74" x14ac:dyDescent="0.3">
      <c r="BV4947" s="32">
        <f t="shared" ca="1" si="77"/>
        <v>121</v>
      </c>
    </row>
    <row r="4948" spans="74:74" x14ac:dyDescent="0.3">
      <c r="BV4948" s="32">
        <f t="shared" ca="1" si="77"/>
        <v>121</v>
      </c>
    </row>
    <row r="4949" spans="74:74" x14ac:dyDescent="0.3">
      <c r="BV4949" s="32">
        <f t="shared" ca="1" si="77"/>
        <v>121</v>
      </c>
    </row>
    <row r="4950" spans="74:74" x14ac:dyDescent="0.3">
      <c r="BV4950" s="32">
        <f t="shared" ca="1" si="77"/>
        <v>121</v>
      </c>
    </row>
    <row r="4951" spans="74:74" x14ac:dyDescent="0.3">
      <c r="BV4951" s="32">
        <f t="shared" ca="1" si="77"/>
        <v>121</v>
      </c>
    </row>
    <row r="4952" spans="74:74" x14ac:dyDescent="0.3">
      <c r="BV4952" s="32">
        <f t="shared" ca="1" si="77"/>
        <v>121</v>
      </c>
    </row>
    <row r="4953" spans="74:74" x14ac:dyDescent="0.3">
      <c r="BV4953" s="32">
        <f t="shared" ca="1" si="77"/>
        <v>121</v>
      </c>
    </row>
    <row r="4954" spans="74:74" x14ac:dyDescent="0.3">
      <c r="BV4954" s="32">
        <f t="shared" ca="1" si="77"/>
        <v>121</v>
      </c>
    </row>
    <row r="4955" spans="74:74" x14ac:dyDescent="0.3">
      <c r="BV4955" s="32">
        <f t="shared" ca="1" si="77"/>
        <v>121</v>
      </c>
    </row>
    <row r="4956" spans="74:74" x14ac:dyDescent="0.3">
      <c r="BV4956" s="32">
        <f t="shared" ca="1" si="77"/>
        <v>121</v>
      </c>
    </row>
    <row r="4957" spans="74:74" x14ac:dyDescent="0.3">
      <c r="BV4957" s="32">
        <f t="shared" ca="1" si="77"/>
        <v>121</v>
      </c>
    </row>
    <row r="4958" spans="74:74" x14ac:dyDescent="0.3">
      <c r="BV4958" s="32">
        <f t="shared" ca="1" si="77"/>
        <v>121</v>
      </c>
    </row>
    <row r="4959" spans="74:74" x14ac:dyDescent="0.3">
      <c r="BV4959" s="32">
        <f t="shared" ca="1" si="77"/>
        <v>121</v>
      </c>
    </row>
    <row r="4960" spans="74:74" x14ac:dyDescent="0.3">
      <c r="BV4960" s="32">
        <f t="shared" ca="1" si="77"/>
        <v>121</v>
      </c>
    </row>
    <row r="4961" spans="74:74" x14ac:dyDescent="0.3">
      <c r="BV4961" s="32">
        <f t="shared" ca="1" si="77"/>
        <v>121</v>
      </c>
    </row>
    <row r="4962" spans="74:74" x14ac:dyDescent="0.3">
      <c r="BV4962" s="32">
        <f t="shared" ca="1" si="77"/>
        <v>121</v>
      </c>
    </row>
    <row r="4963" spans="74:74" x14ac:dyDescent="0.3">
      <c r="BV4963" s="32">
        <f t="shared" ca="1" si="77"/>
        <v>121</v>
      </c>
    </row>
    <row r="4964" spans="74:74" x14ac:dyDescent="0.3">
      <c r="BV4964" s="32">
        <f t="shared" ca="1" si="77"/>
        <v>121</v>
      </c>
    </row>
    <row r="4965" spans="74:74" x14ac:dyDescent="0.3">
      <c r="BV4965" s="32">
        <f t="shared" ca="1" si="77"/>
        <v>121</v>
      </c>
    </row>
    <row r="4966" spans="74:74" x14ac:dyDescent="0.3">
      <c r="BV4966" s="32">
        <f t="shared" ca="1" si="77"/>
        <v>121</v>
      </c>
    </row>
    <row r="4967" spans="74:74" x14ac:dyDescent="0.3">
      <c r="BV4967" s="32">
        <f t="shared" ca="1" si="77"/>
        <v>121</v>
      </c>
    </row>
    <row r="4968" spans="74:74" x14ac:dyDescent="0.3">
      <c r="BV4968" s="32">
        <f t="shared" ca="1" si="77"/>
        <v>121</v>
      </c>
    </row>
    <row r="4969" spans="74:74" x14ac:dyDescent="0.3">
      <c r="BV4969" s="32">
        <f t="shared" ca="1" si="77"/>
        <v>121</v>
      </c>
    </row>
    <row r="4970" spans="74:74" x14ac:dyDescent="0.3">
      <c r="BV4970" s="32">
        <f t="shared" ca="1" si="77"/>
        <v>121</v>
      </c>
    </row>
    <row r="4971" spans="74:74" x14ac:dyDescent="0.3">
      <c r="BV4971" s="32">
        <f t="shared" ca="1" si="77"/>
        <v>121</v>
      </c>
    </row>
    <row r="4972" spans="74:74" x14ac:dyDescent="0.3">
      <c r="BV4972" s="32">
        <f t="shared" ca="1" si="77"/>
        <v>121</v>
      </c>
    </row>
    <row r="4973" spans="74:74" x14ac:dyDescent="0.3">
      <c r="BV4973" s="32">
        <f t="shared" ca="1" si="77"/>
        <v>121</v>
      </c>
    </row>
    <row r="4974" spans="74:74" x14ac:dyDescent="0.3">
      <c r="BV4974" s="32">
        <f t="shared" ca="1" si="77"/>
        <v>121</v>
      </c>
    </row>
    <row r="4975" spans="74:74" x14ac:dyDescent="0.3">
      <c r="BV4975" s="32">
        <f t="shared" ca="1" si="77"/>
        <v>121</v>
      </c>
    </row>
    <row r="4976" spans="74:74" x14ac:dyDescent="0.3">
      <c r="BV4976" s="32">
        <f t="shared" ca="1" si="77"/>
        <v>121</v>
      </c>
    </row>
    <row r="4977" spans="74:74" x14ac:dyDescent="0.3">
      <c r="BV4977" s="32">
        <f t="shared" ca="1" si="77"/>
        <v>121</v>
      </c>
    </row>
    <row r="4978" spans="74:74" x14ac:dyDescent="0.3">
      <c r="BV4978" s="32">
        <f t="shared" ca="1" si="77"/>
        <v>121</v>
      </c>
    </row>
    <row r="4979" spans="74:74" x14ac:dyDescent="0.3">
      <c r="BV4979" s="32">
        <f t="shared" ca="1" si="77"/>
        <v>121</v>
      </c>
    </row>
    <row r="4980" spans="74:74" x14ac:dyDescent="0.3">
      <c r="BV4980" s="32">
        <f t="shared" ca="1" si="77"/>
        <v>121</v>
      </c>
    </row>
    <row r="4981" spans="74:74" x14ac:dyDescent="0.3">
      <c r="BV4981" s="32">
        <f t="shared" ca="1" si="77"/>
        <v>121</v>
      </c>
    </row>
    <row r="4982" spans="74:74" x14ac:dyDescent="0.3">
      <c r="BV4982" s="32">
        <f t="shared" ca="1" si="77"/>
        <v>121</v>
      </c>
    </row>
    <row r="4983" spans="74:74" x14ac:dyDescent="0.3">
      <c r="BV4983" s="32">
        <f t="shared" ca="1" si="77"/>
        <v>121</v>
      </c>
    </row>
    <row r="4984" spans="74:74" x14ac:dyDescent="0.3">
      <c r="BV4984" s="32">
        <f t="shared" ca="1" si="77"/>
        <v>121</v>
      </c>
    </row>
    <row r="4985" spans="74:74" x14ac:dyDescent="0.3">
      <c r="BV4985" s="32">
        <f t="shared" ca="1" si="77"/>
        <v>121</v>
      </c>
    </row>
    <row r="4986" spans="74:74" x14ac:dyDescent="0.3">
      <c r="BV4986" s="32">
        <f t="shared" ca="1" si="77"/>
        <v>121</v>
      </c>
    </row>
    <row r="4987" spans="74:74" x14ac:dyDescent="0.3">
      <c r="BV4987" s="32">
        <f t="shared" ca="1" si="77"/>
        <v>121</v>
      </c>
    </row>
    <row r="4988" spans="74:74" x14ac:dyDescent="0.3">
      <c r="BV4988" s="32">
        <f t="shared" ca="1" si="77"/>
        <v>121</v>
      </c>
    </row>
    <row r="4989" spans="74:74" x14ac:dyDescent="0.3">
      <c r="BV4989" s="32">
        <f t="shared" ca="1" si="77"/>
        <v>121</v>
      </c>
    </row>
    <row r="4990" spans="74:74" x14ac:dyDescent="0.3">
      <c r="BV4990" s="32">
        <f t="shared" ca="1" si="77"/>
        <v>121</v>
      </c>
    </row>
    <row r="4991" spans="74:74" x14ac:dyDescent="0.3">
      <c r="BV4991" s="32">
        <f t="shared" ca="1" si="77"/>
        <v>121</v>
      </c>
    </row>
    <row r="4992" spans="74:74" x14ac:dyDescent="0.3">
      <c r="BV4992" s="32">
        <f t="shared" ca="1" si="77"/>
        <v>121</v>
      </c>
    </row>
    <row r="4993" spans="74:74" x14ac:dyDescent="0.3">
      <c r="BV4993" s="32">
        <f t="shared" ca="1" si="77"/>
        <v>121</v>
      </c>
    </row>
    <row r="4994" spans="74:74" x14ac:dyDescent="0.3">
      <c r="BV4994" s="32">
        <f t="shared" ca="1" si="77"/>
        <v>121</v>
      </c>
    </row>
    <row r="4995" spans="74:74" x14ac:dyDescent="0.3">
      <c r="BV4995" s="32">
        <f t="shared" ca="1" si="77"/>
        <v>121</v>
      </c>
    </row>
    <row r="4996" spans="74:74" x14ac:dyDescent="0.3">
      <c r="BV4996" s="32">
        <f t="shared" ca="1" si="77"/>
        <v>121</v>
      </c>
    </row>
    <row r="4997" spans="74:74" x14ac:dyDescent="0.3">
      <c r="BV4997" s="32">
        <f t="shared" ca="1" si="77"/>
        <v>121</v>
      </c>
    </row>
    <row r="4998" spans="74:74" x14ac:dyDescent="0.3">
      <c r="BV4998" s="32">
        <f t="shared" ca="1" si="77"/>
        <v>121</v>
      </c>
    </row>
    <row r="4999" spans="74:74" x14ac:dyDescent="0.3">
      <c r="BV4999" s="32">
        <f t="shared" ca="1" si="77"/>
        <v>121</v>
      </c>
    </row>
    <row r="5000" spans="74:74" x14ac:dyDescent="0.3">
      <c r="BV5000" s="32">
        <f t="shared" ca="1" si="77"/>
        <v>121</v>
      </c>
    </row>
    <row r="5001" spans="74:74" x14ac:dyDescent="0.3">
      <c r="BV5001" s="32">
        <f t="shared" ca="1" si="77"/>
        <v>121</v>
      </c>
    </row>
    <row r="5002" spans="74:74" x14ac:dyDescent="0.3">
      <c r="BV5002" s="32">
        <f t="shared" ca="1" si="77"/>
        <v>121</v>
      </c>
    </row>
    <row r="5003" spans="74:74" x14ac:dyDescent="0.3">
      <c r="BV5003" s="32">
        <f t="shared" ca="1" si="77"/>
        <v>121</v>
      </c>
    </row>
    <row r="5004" spans="74:74" x14ac:dyDescent="0.3">
      <c r="BV5004" s="32">
        <f t="shared" ca="1" si="77"/>
        <v>121</v>
      </c>
    </row>
    <row r="5005" spans="74:74" x14ac:dyDescent="0.3">
      <c r="BV5005" s="32">
        <f t="shared" ref="BV5005:BV5068" ca="1" si="78">INT((TODAY()-$I5005)/365)</f>
        <v>121</v>
      </c>
    </row>
    <row r="5006" spans="74:74" x14ac:dyDescent="0.3">
      <c r="BV5006" s="32">
        <f t="shared" ca="1" si="78"/>
        <v>121</v>
      </c>
    </row>
    <row r="5007" spans="74:74" x14ac:dyDescent="0.3">
      <c r="BV5007" s="32">
        <f t="shared" ca="1" si="78"/>
        <v>121</v>
      </c>
    </row>
    <row r="5008" spans="74:74" x14ac:dyDescent="0.3">
      <c r="BV5008" s="32">
        <f t="shared" ca="1" si="78"/>
        <v>121</v>
      </c>
    </row>
    <row r="5009" spans="74:74" x14ac:dyDescent="0.3">
      <c r="BV5009" s="32">
        <f t="shared" ca="1" si="78"/>
        <v>121</v>
      </c>
    </row>
    <row r="5010" spans="74:74" x14ac:dyDescent="0.3">
      <c r="BV5010" s="32">
        <f t="shared" ca="1" si="78"/>
        <v>121</v>
      </c>
    </row>
    <row r="5011" spans="74:74" x14ac:dyDescent="0.3">
      <c r="BV5011" s="32">
        <f t="shared" ca="1" si="78"/>
        <v>121</v>
      </c>
    </row>
    <row r="5012" spans="74:74" x14ac:dyDescent="0.3">
      <c r="BV5012" s="32">
        <f t="shared" ca="1" si="78"/>
        <v>121</v>
      </c>
    </row>
    <row r="5013" spans="74:74" x14ac:dyDescent="0.3">
      <c r="BV5013" s="32">
        <f t="shared" ca="1" si="78"/>
        <v>121</v>
      </c>
    </row>
    <row r="5014" spans="74:74" x14ac:dyDescent="0.3">
      <c r="BV5014" s="32">
        <f t="shared" ca="1" si="78"/>
        <v>121</v>
      </c>
    </row>
    <row r="5015" spans="74:74" x14ac:dyDescent="0.3">
      <c r="BV5015" s="32">
        <f t="shared" ca="1" si="78"/>
        <v>121</v>
      </c>
    </row>
    <row r="5016" spans="74:74" x14ac:dyDescent="0.3">
      <c r="BV5016" s="32">
        <f t="shared" ca="1" si="78"/>
        <v>121</v>
      </c>
    </row>
    <row r="5017" spans="74:74" x14ac:dyDescent="0.3">
      <c r="BV5017" s="32">
        <f t="shared" ca="1" si="78"/>
        <v>121</v>
      </c>
    </row>
    <row r="5018" spans="74:74" x14ac:dyDescent="0.3">
      <c r="BV5018" s="32">
        <f t="shared" ca="1" si="78"/>
        <v>121</v>
      </c>
    </row>
    <row r="5019" spans="74:74" x14ac:dyDescent="0.3">
      <c r="BV5019" s="32">
        <f t="shared" ca="1" si="78"/>
        <v>121</v>
      </c>
    </row>
    <row r="5020" spans="74:74" x14ac:dyDescent="0.3">
      <c r="BV5020" s="32">
        <f t="shared" ca="1" si="78"/>
        <v>121</v>
      </c>
    </row>
    <row r="5021" spans="74:74" x14ac:dyDescent="0.3">
      <c r="BV5021" s="32">
        <f t="shared" ca="1" si="78"/>
        <v>121</v>
      </c>
    </row>
    <row r="5022" spans="74:74" x14ac:dyDescent="0.3">
      <c r="BV5022" s="32">
        <f t="shared" ca="1" si="78"/>
        <v>121</v>
      </c>
    </row>
    <row r="5023" spans="74:74" x14ac:dyDescent="0.3">
      <c r="BV5023" s="32">
        <f t="shared" ca="1" si="78"/>
        <v>121</v>
      </c>
    </row>
    <row r="5024" spans="74:74" x14ac:dyDescent="0.3">
      <c r="BV5024" s="32">
        <f t="shared" ca="1" si="78"/>
        <v>121</v>
      </c>
    </row>
    <row r="5025" spans="74:74" x14ac:dyDescent="0.3">
      <c r="BV5025" s="32">
        <f t="shared" ca="1" si="78"/>
        <v>121</v>
      </c>
    </row>
    <row r="5026" spans="74:74" x14ac:dyDescent="0.3">
      <c r="BV5026" s="32">
        <f t="shared" ca="1" si="78"/>
        <v>121</v>
      </c>
    </row>
    <row r="5027" spans="74:74" x14ac:dyDescent="0.3">
      <c r="BV5027" s="32">
        <f t="shared" ca="1" si="78"/>
        <v>121</v>
      </c>
    </row>
    <row r="5028" spans="74:74" x14ac:dyDescent="0.3">
      <c r="BV5028" s="32">
        <f t="shared" ca="1" si="78"/>
        <v>121</v>
      </c>
    </row>
    <row r="5029" spans="74:74" x14ac:dyDescent="0.3">
      <c r="BV5029" s="32">
        <f t="shared" ca="1" si="78"/>
        <v>121</v>
      </c>
    </row>
    <row r="5030" spans="74:74" x14ac:dyDescent="0.3">
      <c r="BV5030" s="32">
        <f t="shared" ca="1" si="78"/>
        <v>121</v>
      </c>
    </row>
    <row r="5031" spans="74:74" x14ac:dyDescent="0.3">
      <c r="BV5031" s="32">
        <f t="shared" ca="1" si="78"/>
        <v>121</v>
      </c>
    </row>
    <row r="5032" spans="74:74" x14ac:dyDescent="0.3">
      <c r="BV5032" s="32">
        <f t="shared" ca="1" si="78"/>
        <v>121</v>
      </c>
    </row>
    <row r="5033" spans="74:74" x14ac:dyDescent="0.3">
      <c r="BV5033" s="32">
        <f t="shared" ca="1" si="78"/>
        <v>121</v>
      </c>
    </row>
    <row r="5034" spans="74:74" x14ac:dyDescent="0.3">
      <c r="BV5034" s="32">
        <f t="shared" ca="1" si="78"/>
        <v>121</v>
      </c>
    </row>
    <row r="5035" spans="74:74" x14ac:dyDescent="0.3">
      <c r="BV5035" s="32">
        <f t="shared" ca="1" si="78"/>
        <v>121</v>
      </c>
    </row>
    <row r="5036" spans="74:74" x14ac:dyDescent="0.3">
      <c r="BV5036" s="32">
        <f t="shared" ca="1" si="78"/>
        <v>121</v>
      </c>
    </row>
    <row r="5037" spans="74:74" x14ac:dyDescent="0.3">
      <c r="BV5037" s="32">
        <f t="shared" ca="1" si="78"/>
        <v>121</v>
      </c>
    </row>
    <row r="5038" spans="74:74" x14ac:dyDescent="0.3">
      <c r="BV5038" s="32">
        <f t="shared" ca="1" si="78"/>
        <v>121</v>
      </c>
    </row>
    <row r="5039" spans="74:74" x14ac:dyDescent="0.3">
      <c r="BV5039" s="32">
        <f t="shared" ca="1" si="78"/>
        <v>121</v>
      </c>
    </row>
    <row r="5040" spans="74:74" x14ac:dyDescent="0.3">
      <c r="BV5040" s="32">
        <f t="shared" ca="1" si="78"/>
        <v>121</v>
      </c>
    </row>
    <row r="5041" spans="74:74" x14ac:dyDescent="0.3">
      <c r="BV5041" s="32">
        <f t="shared" ca="1" si="78"/>
        <v>121</v>
      </c>
    </row>
    <row r="5042" spans="74:74" x14ac:dyDescent="0.3">
      <c r="BV5042" s="32">
        <f t="shared" ca="1" si="78"/>
        <v>121</v>
      </c>
    </row>
    <row r="5043" spans="74:74" x14ac:dyDescent="0.3">
      <c r="BV5043" s="32">
        <f t="shared" ca="1" si="78"/>
        <v>121</v>
      </c>
    </row>
    <row r="5044" spans="74:74" x14ac:dyDescent="0.3">
      <c r="BV5044" s="32">
        <f t="shared" ca="1" si="78"/>
        <v>121</v>
      </c>
    </row>
    <row r="5045" spans="74:74" x14ac:dyDescent="0.3">
      <c r="BV5045" s="32">
        <f t="shared" ca="1" si="78"/>
        <v>121</v>
      </c>
    </row>
    <row r="5046" spans="74:74" x14ac:dyDescent="0.3">
      <c r="BV5046" s="32">
        <f t="shared" ca="1" si="78"/>
        <v>121</v>
      </c>
    </row>
    <row r="5047" spans="74:74" x14ac:dyDescent="0.3">
      <c r="BV5047" s="32">
        <f t="shared" ca="1" si="78"/>
        <v>121</v>
      </c>
    </row>
    <row r="5048" spans="74:74" x14ac:dyDescent="0.3">
      <c r="BV5048" s="32">
        <f t="shared" ca="1" si="78"/>
        <v>121</v>
      </c>
    </row>
    <row r="5049" spans="74:74" x14ac:dyDescent="0.3">
      <c r="BV5049" s="32">
        <f t="shared" ca="1" si="78"/>
        <v>121</v>
      </c>
    </row>
    <row r="5050" spans="74:74" x14ac:dyDescent="0.3">
      <c r="BV5050" s="32">
        <f t="shared" ca="1" si="78"/>
        <v>121</v>
      </c>
    </row>
    <row r="5051" spans="74:74" x14ac:dyDescent="0.3">
      <c r="BV5051" s="32">
        <f t="shared" ca="1" si="78"/>
        <v>121</v>
      </c>
    </row>
    <row r="5052" spans="74:74" x14ac:dyDescent="0.3">
      <c r="BV5052" s="32">
        <f t="shared" ca="1" si="78"/>
        <v>121</v>
      </c>
    </row>
    <row r="5053" spans="74:74" x14ac:dyDescent="0.3">
      <c r="BV5053" s="32">
        <f t="shared" ca="1" si="78"/>
        <v>121</v>
      </c>
    </row>
    <row r="5054" spans="74:74" x14ac:dyDescent="0.3">
      <c r="BV5054" s="32">
        <f t="shared" ca="1" si="78"/>
        <v>121</v>
      </c>
    </row>
    <row r="5055" spans="74:74" x14ac:dyDescent="0.3">
      <c r="BV5055" s="32">
        <f t="shared" ca="1" si="78"/>
        <v>121</v>
      </c>
    </row>
    <row r="5056" spans="74:74" x14ac:dyDescent="0.3">
      <c r="BV5056" s="32">
        <f t="shared" ca="1" si="78"/>
        <v>121</v>
      </c>
    </row>
    <row r="5057" spans="74:74" x14ac:dyDescent="0.3">
      <c r="BV5057" s="32">
        <f t="shared" ca="1" si="78"/>
        <v>121</v>
      </c>
    </row>
    <row r="5058" spans="74:74" x14ac:dyDescent="0.3">
      <c r="BV5058" s="32">
        <f t="shared" ca="1" si="78"/>
        <v>121</v>
      </c>
    </row>
    <row r="5059" spans="74:74" x14ac:dyDescent="0.3">
      <c r="BV5059" s="32">
        <f t="shared" ca="1" si="78"/>
        <v>121</v>
      </c>
    </row>
    <row r="5060" spans="74:74" x14ac:dyDescent="0.3">
      <c r="BV5060" s="32">
        <f t="shared" ca="1" si="78"/>
        <v>121</v>
      </c>
    </row>
    <row r="5061" spans="74:74" x14ac:dyDescent="0.3">
      <c r="BV5061" s="32">
        <f t="shared" ca="1" si="78"/>
        <v>121</v>
      </c>
    </row>
    <row r="5062" spans="74:74" x14ac:dyDescent="0.3">
      <c r="BV5062" s="32">
        <f t="shared" ca="1" si="78"/>
        <v>121</v>
      </c>
    </row>
    <row r="5063" spans="74:74" x14ac:dyDescent="0.3">
      <c r="BV5063" s="32">
        <f t="shared" ca="1" si="78"/>
        <v>121</v>
      </c>
    </row>
    <row r="5064" spans="74:74" x14ac:dyDescent="0.3">
      <c r="BV5064" s="32">
        <f t="shared" ca="1" si="78"/>
        <v>121</v>
      </c>
    </row>
    <row r="5065" spans="74:74" x14ac:dyDescent="0.3">
      <c r="BV5065" s="32">
        <f t="shared" ca="1" si="78"/>
        <v>121</v>
      </c>
    </row>
    <row r="5066" spans="74:74" x14ac:dyDescent="0.3">
      <c r="BV5066" s="32">
        <f t="shared" ca="1" si="78"/>
        <v>121</v>
      </c>
    </row>
    <row r="5067" spans="74:74" x14ac:dyDescent="0.3">
      <c r="BV5067" s="32">
        <f t="shared" ca="1" si="78"/>
        <v>121</v>
      </c>
    </row>
    <row r="5068" spans="74:74" x14ac:dyDescent="0.3">
      <c r="BV5068" s="32">
        <f t="shared" ca="1" si="78"/>
        <v>121</v>
      </c>
    </row>
    <row r="5069" spans="74:74" x14ac:dyDescent="0.3">
      <c r="BV5069" s="32">
        <f t="shared" ref="BV5069:BV5132" ca="1" si="79">INT((TODAY()-$I5069)/365)</f>
        <v>121</v>
      </c>
    </row>
    <row r="5070" spans="74:74" x14ac:dyDescent="0.3">
      <c r="BV5070" s="32">
        <f t="shared" ca="1" si="79"/>
        <v>121</v>
      </c>
    </row>
    <row r="5071" spans="74:74" x14ac:dyDescent="0.3">
      <c r="BV5071" s="32">
        <f t="shared" ca="1" si="79"/>
        <v>121</v>
      </c>
    </row>
    <row r="5072" spans="74:74" x14ac:dyDescent="0.3">
      <c r="BV5072" s="32">
        <f t="shared" ca="1" si="79"/>
        <v>121</v>
      </c>
    </row>
    <row r="5073" spans="74:74" x14ac:dyDescent="0.3">
      <c r="BV5073" s="32">
        <f t="shared" ca="1" si="79"/>
        <v>121</v>
      </c>
    </row>
    <row r="5074" spans="74:74" x14ac:dyDescent="0.3">
      <c r="BV5074" s="32">
        <f t="shared" ca="1" si="79"/>
        <v>121</v>
      </c>
    </row>
    <row r="5075" spans="74:74" x14ac:dyDescent="0.3">
      <c r="BV5075" s="32">
        <f t="shared" ca="1" si="79"/>
        <v>121</v>
      </c>
    </row>
    <row r="5076" spans="74:74" x14ac:dyDescent="0.3">
      <c r="BV5076" s="32">
        <f t="shared" ca="1" si="79"/>
        <v>121</v>
      </c>
    </row>
    <row r="5077" spans="74:74" x14ac:dyDescent="0.3">
      <c r="BV5077" s="32">
        <f t="shared" ca="1" si="79"/>
        <v>121</v>
      </c>
    </row>
    <row r="5078" spans="74:74" x14ac:dyDescent="0.3">
      <c r="BV5078" s="32">
        <f t="shared" ca="1" si="79"/>
        <v>121</v>
      </c>
    </row>
    <row r="5079" spans="74:74" x14ac:dyDescent="0.3">
      <c r="BV5079" s="32">
        <f t="shared" ca="1" si="79"/>
        <v>121</v>
      </c>
    </row>
    <row r="5080" spans="74:74" x14ac:dyDescent="0.3">
      <c r="BV5080" s="32">
        <f t="shared" ca="1" si="79"/>
        <v>121</v>
      </c>
    </row>
    <row r="5081" spans="74:74" x14ac:dyDescent="0.3">
      <c r="BV5081" s="32">
        <f t="shared" ca="1" si="79"/>
        <v>121</v>
      </c>
    </row>
    <row r="5082" spans="74:74" x14ac:dyDescent="0.3">
      <c r="BV5082" s="32">
        <f t="shared" ca="1" si="79"/>
        <v>121</v>
      </c>
    </row>
    <row r="5083" spans="74:74" x14ac:dyDescent="0.3">
      <c r="BV5083" s="32">
        <f t="shared" ca="1" si="79"/>
        <v>121</v>
      </c>
    </row>
    <row r="5084" spans="74:74" x14ac:dyDescent="0.3">
      <c r="BV5084" s="32">
        <f t="shared" ca="1" si="79"/>
        <v>121</v>
      </c>
    </row>
    <row r="5085" spans="74:74" x14ac:dyDescent="0.3">
      <c r="BV5085" s="32">
        <f t="shared" ca="1" si="79"/>
        <v>121</v>
      </c>
    </row>
    <row r="5086" spans="74:74" x14ac:dyDescent="0.3">
      <c r="BV5086" s="32">
        <f t="shared" ca="1" si="79"/>
        <v>121</v>
      </c>
    </row>
    <row r="5087" spans="74:74" x14ac:dyDescent="0.3">
      <c r="BV5087" s="32">
        <f t="shared" ca="1" si="79"/>
        <v>121</v>
      </c>
    </row>
    <row r="5088" spans="74:74" x14ac:dyDescent="0.3">
      <c r="BV5088" s="32">
        <f t="shared" ca="1" si="79"/>
        <v>121</v>
      </c>
    </row>
    <row r="5089" spans="74:74" x14ac:dyDescent="0.3">
      <c r="BV5089" s="32">
        <f t="shared" ca="1" si="79"/>
        <v>121</v>
      </c>
    </row>
    <row r="5090" spans="74:74" x14ac:dyDescent="0.3">
      <c r="BV5090" s="32">
        <f t="shared" ca="1" si="79"/>
        <v>121</v>
      </c>
    </row>
    <row r="5091" spans="74:74" x14ac:dyDescent="0.3">
      <c r="BV5091" s="32">
        <f t="shared" ca="1" si="79"/>
        <v>121</v>
      </c>
    </row>
    <row r="5092" spans="74:74" x14ac:dyDescent="0.3">
      <c r="BV5092" s="32">
        <f t="shared" ca="1" si="79"/>
        <v>121</v>
      </c>
    </row>
    <row r="5093" spans="74:74" x14ac:dyDescent="0.3">
      <c r="BV5093" s="32">
        <f t="shared" ca="1" si="79"/>
        <v>121</v>
      </c>
    </row>
    <row r="5094" spans="74:74" x14ac:dyDescent="0.3">
      <c r="BV5094" s="32">
        <f t="shared" ca="1" si="79"/>
        <v>121</v>
      </c>
    </row>
    <row r="5095" spans="74:74" x14ac:dyDescent="0.3">
      <c r="BV5095" s="32">
        <f t="shared" ca="1" si="79"/>
        <v>121</v>
      </c>
    </row>
    <row r="5096" spans="74:74" x14ac:dyDescent="0.3">
      <c r="BV5096" s="32">
        <f t="shared" ca="1" si="79"/>
        <v>121</v>
      </c>
    </row>
    <row r="5097" spans="74:74" x14ac:dyDescent="0.3">
      <c r="BV5097" s="32">
        <f t="shared" ca="1" si="79"/>
        <v>121</v>
      </c>
    </row>
    <row r="5098" spans="74:74" x14ac:dyDescent="0.3">
      <c r="BV5098" s="32">
        <f t="shared" ca="1" si="79"/>
        <v>121</v>
      </c>
    </row>
    <row r="5099" spans="74:74" x14ac:dyDescent="0.3">
      <c r="BV5099" s="32">
        <f t="shared" ca="1" si="79"/>
        <v>121</v>
      </c>
    </row>
    <row r="5100" spans="74:74" x14ac:dyDescent="0.3">
      <c r="BV5100" s="32">
        <f t="shared" ca="1" si="79"/>
        <v>121</v>
      </c>
    </row>
    <row r="5101" spans="74:74" x14ac:dyDescent="0.3">
      <c r="BV5101" s="32">
        <f t="shared" ca="1" si="79"/>
        <v>121</v>
      </c>
    </row>
    <row r="5102" spans="74:74" x14ac:dyDescent="0.3">
      <c r="BV5102" s="32">
        <f t="shared" ca="1" si="79"/>
        <v>121</v>
      </c>
    </row>
    <row r="5103" spans="74:74" x14ac:dyDescent="0.3">
      <c r="BV5103" s="32">
        <f t="shared" ca="1" si="79"/>
        <v>121</v>
      </c>
    </row>
    <row r="5104" spans="74:74" x14ac:dyDescent="0.3">
      <c r="BV5104" s="32">
        <f t="shared" ca="1" si="79"/>
        <v>121</v>
      </c>
    </row>
    <row r="5105" spans="74:74" x14ac:dyDescent="0.3">
      <c r="BV5105" s="32">
        <f t="shared" ca="1" si="79"/>
        <v>121</v>
      </c>
    </row>
    <row r="5106" spans="74:74" x14ac:dyDescent="0.3">
      <c r="BV5106" s="32">
        <f t="shared" ca="1" si="79"/>
        <v>121</v>
      </c>
    </row>
    <row r="5107" spans="74:74" x14ac:dyDescent="0.3">
      <c r="BV5107" s="32">
        <f t="shared" ca="1" si="79"/>
        <v>121</v>
      </c>
    </row>
    <row r="5108" spans="74:74" x14ac:dyDescent="0.3">
      <c r="BV5108" s="32">
        <f t="shared" ca="1" si="79"/>
        <v>121</v>
      </c>
    </row>
    <row r="5109" spans="74:74" x14ac:dyDescent="0.3">
      <c r="BV5109" s="32">
        <f t="shared" ca="1" si="79"/>
        <v>121</v>
      </c>
    </row>
    <row r="5110" spans="74:74" x14ac:dyDescent="0.3">
      <c r="BV5110" s="32">
        <f t="shared" ca="1" si="79"/>
        <v>121</v>
      </c>
    </row>
    <row r="5111" spans="74:74" x14ac:dyDescent="0.3">
      <c r="BV5111" s="32">
        <f t="shared" ca="1" si="79"/>
        <v>121</v>
      </c>
    </row>
    <row r="5112" spans="74:74" x14ac:dyDescent="0.3">
      <c r="BV5112" s="32">
        <f t="shared" ca="1" si="79"/>
        <v>121</v>
      </c>
    </row>
    <row r="5113" spans="74:74" x14ac:dyDescent="0.3">
      <c r="BV5113" s="32">
        <f t="shared" ca="1" si="79"/>
        <v>121</v>
      </c>
    </row>
    <row r="5114" spans="74:74" x14ac:dyDescent="0.3">
      <c r="BV5114" s="32">
        <f t="shared" ca="1" si="79"/>
        <v>121</v>
      </c>
    </row>
    <row r="5115" spans="74:74" x14ac:dyDescent="0.3">
      <c r="BV5115" s="32">
        <f t="shared" ca="1" si="79"/>
        <v>121</v>
      </c>
    </row>
    <row r="5116" spans="74:74" x14ac:dyDescent="0.3">
      <c r="BV5116" s="32">
        <f t="shared" ca="1" si="79"/>
        <v>121</v>
      </c>
    </row>
    <row r="5117" spans="74:74" x14ac:dyDescent="0.3">
      <c r="BV5117" s="32">
        <f t="shared" ca="1" si="79"/>
        <v>121</v>
      </c>
    </row>
    <row r="5118" spans="74:74" x14ac:dyDescent="0.3">
      <c r="BV5118" s="32">
        <f t="shared" ca="1" si="79"/>
        <v>121</v>
      </c>
    </row>
    <row r="5119" spans="74:74" x14ac:dyDescent="0.3">
      <c r="BV5119" s="32">
        <f t="shared" ca="1" si="79"/>
        <v>121</v>
      </c>
    </row>
    <row r="5120" spans="74:74" x14ac:dyDescent="0.3">
      <c r="BV5120" s="32">
        <f t="shared" ca="1" si="79"/>
        <v>121</v>
      </c>
    </row>
    <row r="5121" spans="74:74" x14ac:dyDescent="0.3">
      <c r="BV5121" s="32">
        <f t="shared" ca="1" si="79"/>
        <v>121</v>
      </c>
    </row>
    <row r="5122" spans="74:74" x14ac:dyDescent="0.3">
      <c r="BV5122" s="32">
        <f t="shared" ca="1" si="79"/>
        <v>121</v>
      </c>
    </row>
    <row r="5123" spans="74:74" x14ac:dyDescent="0.3">
      <c r="BV5123" s="32">
        <f t="shared" ca="1" si="79"/>
        <v>121</v>
      </c>
    </row>
    <row r="5124" spans="74:74" x14ac:dyDescent="0.3">
      <c r="BV5124" s="32">
        <f t="shared" ca="1" si="79"/>
        <v>121</v>
      </c>
    </row>
    <row r="5125" spans="74:74" x14ac:dyDescent="0.3">
      <c r="BV5125" s="32">
        <f t="shared" ca="1" si="79"/>
        <v>121</v>
      </c>
    </row>
    <row r="5126" spans="74:74" x14ac:dyDescent="0.3">
      <c r="BV5126" s="32">
        <f t="shared" ca="1" si="79"/>
        <v>121</v>
      </c>
    </row>
    <row r="5127" spans="74:74" x14ac:dyDescent="0.3">
      <c r="BV5127" s="32">
        <f t="shared" ca="1" si="79"/>
        <v>121</v>
      </c>
    </row>
    <row r="5128" spans="74:74" x14ac:dyDescent="0.3">
      <c r="BV5128" s="32">
        <f t="shared" ca="1" si="79"/>
        <v>121</v>
      </c>
    </row>
    <row r="5129" spans="74:74" x14ac:dyDescent="0.3">
      <c r="BV5129" s="32">
        <f t="shared" ca="1" si="79"/>
        <v>121</v>
      </c>
    </row>
    <row r="5130" spans="74:74" x14ac:dyDescent="0.3">
      <c r="BV5130" s="32">
        <f t="shared" ca="1" si="79"/>
        <v>121</v>
      </c>
    </row>
    <row r="5131" spans="74:74" x14ac:dyDescent="0.3">
      <c r="BV5131" s="32">
        <f t="shared" ca="1" si="79"/>
        <v>121</v>
      </c>
    </row>
    <row r="5132" spans="74:74" x14ac:dyDescent="0.3">
      <c r="BV5132" s="32">
        <f t="shared" ca="1" si="79"/>
        <v>121</v>
      </c>
    </row>
    <row r="5133" spans="74:74" x14ac:dyDescent="0.3">
      <c r="BV5133" s="32">
        <f t="shared" ref="BV5133:BV5196" ca="1" si="80">INT((TODAY()-$I5133)/365)</f>
        <v>121</v>
      </c>
    </row>
    <row r="5134" spans="74:74" x14ac:dyDescent="0.3">
      <c r="BV5134" s="32">
        <f t="shared" ca="1" si="80"/>
        <v>121</v>
      </c>
    </row>
    <row r="5135" spans="74:74" x14ac:dyDescent="0.3">
      <c r="BV5135" s="32">
        <f t="shared" ca="1" si="80"/>
        <v>121</v>
      </c>
    </row>
    <row r="5136" spans="74:74" x14ac:dyDescent="0.3">
      <c r="BV5136" s="32">
        <f t="shared" ca="1" si="80"/>
        <v>121</v>
      </c>
    </row>
    <row r="5137" spans="74:74" x14ac:dyDescent="0.3">
      <c r="BV5137" s="32">
        <f t="shared" ca="1" si="80"/>
        <v>121</v>
      </c>
    </row>
    <row r="5138" spans="74:74" x14ac:dyDescent="0.3">
      <c r="BV5138" s="32">
        <f t="shared" ca="1" si="80"/>
        <v>121</v>
      </c>
    </row>
    <row r="5139" spans="74:74" x14ac:dyDescent="0.3">
      <c r="BV5139" s="32">
        <f t="shared" ca="1" si="80"/>
        <v>121</v>
      </c>
    </row>
    <row r="5140" spans="74:74" x14ac:dyDescent="0.3">
      <c r="BV5140" s="32">
        <f t="shared" ca="1" si="80"/>
        <v>121</v>
      </c>
    </row>
    <row r="5141" spans="74:74" x14ac:dyDescent="0.3">
      <c r="BV5141" s="32">
        <f t="shared" ca="1" si="80"/>
        <v>121</v>
      </c>
    </row>
    <row r="5142" spans="74:74" x14ac:dyDescent="0.3">
      <c r="BV5142" s="32">
        <f t="shared" ca="1" si="80"/>
        <v>121</v>
      </c>
    </row>
    <row r="5143" spans="74:74" x14ac:dyDescent="0.3">
      <c r="BV5143" s="32">
        <f t="shared" ca="1" si="80"/>
        <v>121</v>
      </c>
    </row>
    <row r="5144" spans="74:74" x14ac:dyDescent="0.3">
      <c r="BV5144" s="32">
        <f t="shared" ca="1" si="80"/>
        <v>121</v>
      </c>
    </row>
    <row r="5145" spans="74:74" x14ac:dyDescent="0.3">
      <c r="BV5145" s="32">
        <f t="shared" ca="1" si="80"/>
        <v>121</v>
      </c>
    </row>
    <row r="5146" spans="74:74" x14ac:dyDescent="0.3">
      <c r="BV5146" s="32">
        <f t="shared" ca="1" si="80"/>
        <v>121</v>
      </c>
    </row>
    <row r="5147" spans="74:74" x14ac:dyDescent="0.3">
      <c r="BV5147" s="32">
        <f t="shared" ca="1" si="80"/>
        <v>121</v>
      </c>
    </row>
    <row r="5148" spans="74:74" x14ac:dyDescent="0.3">
      <c r="BV5148" s="32">
        <f t="shared" ca="1" si="80"/>
        <v>121</v>
      </c>
    </row>
    <row r="5149" spans="74:74" x14ac:dyDescent="0.3">
      <c r="BV5149" s="32">
        <f t="shared" ca="1" si="80"/>
        <v>121</v>
      </c>
    </row>
    <row r="5150" spans="74:74" x14ac:dyDescent="0.3">
      <c r="BV5150" s="32">
        <f t="shared" ca="1" si="80"/>
        <v>121</v>
      </c>
    </row>
    <row r="5151" spans="74:74" x14ac:dyDescent="0.3">
      <c r="BV5151" s="32">
        <f t="shared" ca="1" si="80"/>
        <v>121</v>
      </c>
    </row>
    <row r="5152" spans="74:74" x14ac:dyDescent="0.3">
      <c r="BV5152" s="32">
        <f t="shared" ca="1" si="80"/>
        <v>121</v>
      </c>
    </row>
    <row r="5153" spans="74:74" x14ac:dyDescent="0.3">
      <c r="BV5153" s="32">
        <f t="shared" ca="1" si="80"/>
        <v>121</v>
      </c>
    </row>
    <row r="5154" spans="74:74" x14ac:dyDescent="0.3">
      <c r="BV5154" s="32">
        <f t="shared" ca="1" si="80"/>
        <v>121</v>
      </c>
    </row>
    <row r="5155" spans="74:74" x14ac:dyDescent="0.3">
      <c r="BV5155" s="32">
        <f t="shared" ca="1" si="80"/>
        <v>121</v>
      </c>
    </row>
    <row r="5156" spans="74:74" x14ac:dyDescent="0.3">
      <c r="BV5156" s="32">
        <f t="shared" ca="1" si="80"/>
        <v>121</v>
      </c>
    </row>
    <row r="5157" spans="74:74" x14ac:dyDescent="0.3">
      <c r="BV5157" s="32">
        <f t="shared" ca="1" si="80"/>
        <v>121</v>
      </c>
    </row>
    <row r="5158" spans="74:74" x14ac:dyDescent="0.3">
      <c r="BV5158" s="32">
        <f t="shared" ca="1" si="80"/>
        <v>121</v>
      </c>
    </row>
    <row r="5159" spans="74:74" x14ac:dyDescent="0.3">
      <c r="BV5159" s="32">
        <f t="shared" ca="1" si="80"/>
        <v>121</v>
      </c>
    </row>
    <row r="5160" spans="74:74" x14ac:dyDescent="0.3">
      <c r="BV5160" s="32">
        <f t="shared" ca="1" si="80"/>
        <v>121</v>
      </c>
    </row>
    <row r="5161" spans="74:74" x14ac:dyDescent="0.3">
      <c r="BV5161" s="32">
        <f t="shared" ca="1" si="80"/>
        <v>121</v>
      </c>
    </row>
    <row r="5162" spans="74:74" x14ac:dyDescent="0.3">
      <c r="BV5162" s="32">
        <f t="shared" ca="1" si="80"/>
        <v>121</v>
      </c>
    </row>
    <row r="5163" spans="74:74" x14ac:dyDescent="0.3">
      <c r="BV5163" s="32">
        <f t="shared" ca="1" si="80"/>
        <v>121</v>
      </c>
    </row>
    <row r="5164" spans="74:74" x14ac:dyDescent="0.3">
      <c r="BV5164" s="32">
        <f t="shared" ca="1" si="80"/>
        <v>121</v>
      </c>
    </row>
    <row r="5165" spans="74:74" x14ac:dyDescent="0.3">
      <c r="BV5165" s="32">
        <f t="shared" ca="1" si="80"/>
        <v>121</v>
      </c>
    </row>
    <row r="5166" spans="74:74" x14ac:dyDescent="0.3">
      <c r="BV5166" s="32">
        <f t="shared" ca="1" si="80"/>
        <v>121</v>
      </c>
    </row>
    <row r="5167" spans="74:74" x14ac:dyDescent="0.3">
      <c r="BV5167" s="32">
        <f t="shared" ca="1" si="80"/>
        <v>121</v>
      </c>
    </row>
    <row r="5168" spans="74:74" x14ac:dyDescent="0.3">
      <c r="BV5168" s="32">
        <f t="shared" ca="1" si="80"/>
        <v>121</v>
      </c>
    </row>
    <row r="5169" spans="74:74" x14ac:dyDescent="0.3">
      <c r="BV5169" s="32">
        <f t="shared" ca="1" si="80"/>
        <v>121</v>
      </c>
    </row>
    <row r="5170" spans="74:74" x14ac:dyDescent="0.3">
      <c r="BV5170" s="32">
        <f t="shared" ca="1" si="80"/>
        <v>121</v>
      </c>
    </row>
    <row r="5171" spans="74:74" x14ac:dyDescent="0.3">
      <c r="BV5171" s="32">
        <f t="shared" ca="1" si="80"/>
        <v>121</v>
      </c>
    </row>
    <row r="5172" spans="74:74" x14ac:dyDescent="0.3">
      <c r="BV5172" s="32">
        <f t="shared" ca="1" si="80"/>
        <v>121</v>
      </c>
    </row>
    <row r="5173" spans="74:74" x14ac:dyDescent="0.3">
      <c r="BV5173" s="32">
        <f t="shared" ca="1" si="80"/>
        <v>121</v>
      </c>
    </row>
    <row r="5174" spans="74:74" x14ac:dyDescent="0.3">
      <c r="BV5174" s="32">
        <f t="shared" ca="1" si="80"/>
        <v>121</v>
      </c>
    </row>
    <row r="5175" spans="74:74" x14ac:dyDescent="0.3">
      <c r="BV5175" s="32">
        <f t="shared" ca="1" si="80"/>
        <v>121</v>
      </c>
    </row>
    <row r="5176" spans="74:74" x14ac:dyDescent="0.3">
      <c r="BV5176" s="32">
        <f t="shared" ca="1" si="80"/>
        <v>121</v>
      </c>
    </row>
    <row r="5177" spans="74:74" x14ac:dyDescent="0.3">
      <c r="BV5177" s="32">
        <f t="shared" ca="1" si="80"/>
        <v>121</v>
      </c>
    </row>
    <row r="5178" spans="74:74" x14ac:dyDescent="0.3">
      <c r="BV5178" s="32">
        <f t="shared" ca="1" si="80"/>
        <v>121</v>
      </c>
    </row>
    <row r="5179" spans="74:74" x14ac:dyDescent="0.3">
      <c r="BV5179" s="32">
        <f t="shared" ca="1" si="80"/>
        <v>121</v>
      </c>
    </row>
    <row r="5180" spans="74:74" x14ac:dyDescent="0.3">
      <c r="BV5180" s="32">
        <f t="shared" ca="1" si="80"/>
        <v>121</v>
      </c>
    </row>
    <row r="5181" spans="74:74" x14ac:dyDescent="0.3">
      <c r="BV5181" s="32">
        <f t="shared" ca="1" si="80"/>
        <v>121</v>
      </c>
    </row>
    <row r="5182" spans="74:74" x14ac:dyDescent="0.3">
      <c r="BV5182" s="32">
        <f t="shared" ca="1" si="80"/>
        <v>121</v>
      </c>
    </row>
    <row r="5183" spans="74:74" x14ac:dyDescent="0.3">
      <c r="BV5183" s="32">
        <f t="shared" ca="1" si="80"/>
        <v>121</v>
      </c>
    </row>
    <row r="5184" spans="74:74" x14ac:dyDescent="0.3">
      <c r="BV5184" s="32">
        <f t="shared" ca="1" si="80"/>
        <v>121</v>
      </c>
    </row>
    <row r="5185" spans="74:74" x14ac:dyDescent="0.3">
      <c r="BV5185" s="32">
        <f t="shared" ca="1" si="80"/>
        <v>121</v>
      </c>
    </row>
    <row r="5186" spans="74:74" x14ac:dyDescent="0.3">
      <c r="BV5186" s="32">
        <f t="shared" ca="1" si="80"/>
        <v>121</v>
      </c>
    </row>
    <row r="5187" spans="74:74" x14ac:dyDescent="0.3">
      <c r="BV5187" s="32">
        <f t="shared" ca="1" si="80"/>
        <v>121</v>
      </c>
    </row>
    <row r="5188" spans="74:74" x14ac:dyDescent="0.3">
      <c r="BV5188" s="32">
        <f t="shared" ca="1" si="80"/>
        <v>121</v>
      </c>
    </row>
    <row r="5189" spans="74:74" x14ac:dyDescent="0.3">
      <c r="BV5189" s="32">
        <f t="shared" ca="1" si="80"/>
        <v>121</v>
      </c>
    </row>
    <row r="5190" spans="74:74" x14ac:dyDescent="0.3">
      <c r="BV5190" s="32">
        <f t="shared" ca="1" si="80"/>
        <v>121</v>
      </c>
    </row>
    <row r="5191" spans="74:74" x14ac:dyDescent="0.3">
      <c r="BV5191" s="32">
        <f t="shared" ca="1" si="80"/>
        <v>121</v>
      </c>
    </row>
    <row r="5192" spans="74:74" x14ac:dyDescent="0.3">
      <c r="BV5192" s="32">
        <f t="shared" ca="1" si="80"/>
        <v>121</v>
      </c>
    </row>
    <row r="5193" spans="74:74" x14ac:dyDescent="0.3">
      <c r="BV5193" s="32">
        <f t="shared" ca="1" si="80"/>
        <v>121</v>
      </c>
    </row>
    <row r="5194" spans="74:74" x14ac:dyDescent="0.3">
      <c r="BV5194" s="32">
        <f t="shared" ca="1" si="80"/>
        <v>121</v>
      </c>
    </row>
    <row r="5195" spans="74:74" x14ac:dyDescent="0.3">
      <c r="BV5195" s="32">
        <f t="shared" ca="1" si="80"/>
        <v>121</v>
      </c>
    </row>
    <row r="5196" spans="74:74" x14ac:dyDescent="0.3">
      <c r="BV5196" s="32">
        <f t="shared" ca="1" si="80"/>
        <v>121</v>
      </c>
    </row>
    <row r="5197" spans="74:74" x14ac:dyDescent="0.3">
      <c r="BV5197" s="32">
        <f t="shared" ref="BV5197:BV5260" ca="1" si="81">INT((TODAY()-$I5197)/365)</f>
        <v>121</v>
      </c>
    </row>
    <row r="5198" spans="74:74" x14ac:dyDescent="0.3">
      <c r="BV5198" s="32">
        <f t="shared" ca="1" si="81"/>
        <v>121</v>
      </c>
    </row>
    <row r="5199" spans="74:74" x14ac:dyDescent="0.3">
      <c r="BV5199" s="32">
        <f t="shared" ca="1" si="81"/>
        <v>121</v>
      </c>
    </row>
    <row r="5200" spans="74:74" x14ac:dyDescent="0.3">
      <c r="BV5200" s="32">
        <f t="shared" ca="1" si="81"/>
        <v>121</v>
      </c>
    </row>
    <row r="5201" spans="74:74" x14ac:dyDescent="0.3">
      <c r="BV5201" s="32">
        <f t="shared" ca="1" si="81"/>
        <v>121</v>
      </c>
    </row>
    <row r="5202" spans="74:74" x14ac:dyDescent="0.3">
      <c r="BV5202" s="32">
        <f t="shared" ca="1" si="81"/>
        <v>121</v>
      </c>
    </row>
    <row r="5203" spans="74:74" x14ac:dyDescent="0.3">
      <c r="BV5203" s="32">
        <f t="shared" ca="1" si="81"/>
        <v>121</v>
      </c>
    </row>
    <row r="5204" spans="74:74" x14ac:dyDescent="0.3">
      <c r="BV5204" s="32">
        <f t="shared" ca="1" si="81"/>
        <v>121</v>
      </c>
    </row>
    <row r="5205" spans="74:74" x14ac:dyDescent="0.3">
      <c r="BV5205" s="32">
        <f t="shared" ca="1" si="81"/>
        <v>121</v>
      </c>
    </row>
    <row r="5206" spans="74:74" x14ac:dyDescent="0.3">
      <c r="BV5206" s="32">
        <f t="shared" ca="1" si="81"/>
        <v>121</v>
      </c>
    </row>
    <row r="5207" spans="74:74" x14ac:dyDescent="0.3">
      <c r="BV5207" s="32">
        <f t="shared" ca="1" si="81"/>
        <v>121</v>
      </c>
    </row>
    <row r="5208" spans="74:74" x14ac:dyDescent="0.3">
      <c r="BV5208" s="32">
        <f t="shared" ca="1" si="81"/>
        <v>121</v>
      </c>
    </row>
    <row r="5209" spans="74:74" x14ac:dyDescent="0.3">
      <c r="BV5209" s="32">
        <f t="shared" ca="1" si="81"/>
        <v>121</v>
      </c>
    </row>
    <row r="5210" spans="74:74" x14ac:dyDescent="0.3">
      <c r="BV5210" s="32">
        <f t="shared" ca="1" si="81"/>
        <v>121</v>
      </c>
    </row>
    <row r="5211" spans="74:74" x14ac:dyDescent="0.3">
      <c r="BV5211" s="32">
        <f t="shared" ca="1" si="81"/>
        <v>121</v>
      </c>
    </row>
    <row r="5212" spans="74:74" x14ac:dyDescent="0.3">
      <c r="BV5212" s="32">
        <f t="shared" ca="1" si="81"/>
        <v>121</v>
      </c>
    </row>
    <row r="5213" spans="74:74" x14ac:dyDescent="0.3">
      <c r="BV5213" s="32">
        <f t="shared" ca="1" si="81"/>
        <v>121</v>
      </c>
    </row>
    <row r="5214" spans="74:74" x14ac:dyDescent="0.3">
      <c r="BV5214" s="32">
        <f t="shared" ca="1" si="81"/>
        <v>121</v>
      </c>
    </row>
    <row r="5215" spans="74:74" x14ac:dyDescent="0.3">
      <c r="BV5215" s="32">
        <f t="shared" ca="1" si="81"/>
        <v>121</v>
      </c>
    </row>
    <row r="5216" spans="74:74" x14ac:dyDescent="0.3">
      <c r="BV5216" s="32">
        <f t="shared" ca="1" si="81"/>
        <v>121</v>
      </c>
    </row>
    <row r="5217" spans="74:74" x14ac:dyDescent="0.3">
      <c r="BV5217" s="32">
        <f t="shared" ca="1" si="81"/>
        <v>121</v>
      </c>
    </row>
    <row r="5218" spans="74:74" x14ac:dyDescent="0.3">
      <c r="BV5218" s="32">
        <f t="shared" ca="1" si="81"/>
        <v>121</v>
      </c>
    </row>
    <row r="5219" spans="74:74" x14ac:dyDescent="0.3">
      <c r="BV5219" s="32">
        <f t="shared" ca="1" si="81"/>
        <v>121</v>
      </c>
    </row>
    <row r="5220" spans="74:74" x14ac:dyDescent="0.3">
      <c r="BV5220" s="32">
        <f t="shared" ca="1" si="81"/>
        <v>121</v>
      </c>
    </row>
    <row r="5221" spans="74:74" x14ac:dyDescent="0.3">
      <c r="BV5221" s="32">
        <f t="shared" ca="1" si="81"/>
        <v>121</v>
      </c>
    </row>
    <row r="5222" spans="74:74" x14ac:dyDescent="0.3">
      <c r="BV5222" s="32">
        <f t="shared" ca="1" si="81"/>
        <v>121</v>
      </c>
    </row>
    <row r="5223" spans="74:74" x14ac:dyDescent="0.3">
      <c r="BV5223" s="32">
        <f t="shared" ca="1" si="81"/>
        <v>121</v>
      </c>
    </row>
    <row r="5224" spans="74:74" x14ac:dyDescent="0.3">
      <c r="BV5224" s="32">
        <f t="shared" ca="1" si="81"/>
        <v>121</v>
      </c>
    </row>
    <row r="5225" spans="74:74" x14ac:dyDescent="0.3">
      <c r="BV5225" s="32">
        <f t="shared" ca="1" si="81"/>
        <v>121</v>
      </c>
    </row>
    <row r="5226" spans="74:74" x14ac:dyDescent="0.3">
      <c r="BV5226" s="32">
        <f t="shared" ca="1" si="81"/>
        <v>121</v>
      </c>
    </row>
    <row r="5227" spans="74:74" x14ac:dyDescent="0.3">
      <c r="BV5227" s="32">
        <f t="shared" ca="1" si="81"/>
        <v>121</v>
      </c>
    </row>
    <row r="5228" spans="74:74" x14ac:dyDescent="0.3">
      <c r="BV5228" s="32">
        <f t="shared" ca="1" si="81"/>
        <v>121</v>
      </c>
    </row>
    <row r="5229" spans="74:74" x14ac:dyDescent="0.3">
      <c r="BV5229" s="32">
        <f t="shared" ca="1" si="81"/>
        <v>121</v>
      </c>
    </row>
    <row r="5230" spans="74:74" x14ac:dyDescent="0.3">
      <c r="BV5230" s="32">
        <f t="shared" ca="1" si="81"/>
        <v>121</v>
      </c>
    </row>
    <row r="5231" spans="74:74" x14ac:dyDescent="0.3">
      <c r="BV5231" s="32">
        <f t="shared" ca="1" si="81"/>
        <v>121</v>
      </c>
    </row>
    <row r="5232" spans="74:74" x14ac:dyDescent="0.3">
      <c r="BV5232" s="32">
        <f t="shared" ca="1" si="81"/>
        <v>121</v>
      </c>
    </row>
    <row r="5233" spans="74:74" x14ac:dyDescent="0.3">
      <c r="BV5233" s="32">
        <f t="shared" ca="1" si="81"/>
        <v>121</v>
      </c>
    </row>
    <row r="5234" spans="74:74" x14ac:dyDescent="0.3">
      <c r="BV5234" s="32">
        <f t="shared" ca="1" si="81"/>
        <v>121</v>
      </c>
    </row>
    <row r="5235" spans="74:74" x14ac:dyDescent="0.3">
      <c r="BV5235" s="32">
        <f t="shared" ca="1" si="81"/>
        <v>121</v>
      </c>
    </row>
    <row r="5236" spans="74:74" x14ac:dyDescent="0.3">
      <c r="BV5236" s="32">
        <f t="shared" ca="1" si="81"/>
        <v>121</v>
      </c>
    </row>
    <row r="5237" spans="74:74" x14ac:dyDescent="0.3">
      <c r="BV5237" s="32">
        <f t="shared" ca="1" si="81"/>
        <v>121</v>
      </c>
    </row>
    <row r="5238" spans="74:74" x14ac:dyDescent="0.3">
      <c r="BV5238" s="32">
        <f t="shared" ca="1" si="81"/>
        <v>121</v>
      </c>
    </row>
    <row r="5239" spans="74:74" x14ac:dyDescent="0.3">
      <c r="BV5239" s="32">
        <f t="shared" ca="1" si="81"/>
        <v>121</v>
      </c>
    </row>
    <row r="5240" spans="74:74" x14ac:dyDescent="0.3">
      <c r="BV5240" s="32">
        <f t="shared" ca="1" si="81"/>
        <v>121</v>
      </c>
    </row>
    <row r="5241" spans="74:74" x14ac:dyDescent="0.3">
      <c r="BV5241" s="32">
        <f t="shared" ca="1" si="81"/>
        <v>121</v>
      </c>
    </row>
    <row r="5242" spans="74:74" x14ac:dyDescent="0.3">
      <c r="BV5242" s="32">
        <f t="shared" ca="1" si="81"/>
        <v>121</v>
      </c>
    </row>
    <row r="5243" spans="74:74" x14ac:dyDescent="0.3">
      <c r="BV5243" s="32">
        <f t="shared" ca="1" si="81"/>
        <v>121</v>
      </c>
    </row>
    <row r="5244" spans="74:74" x14ac:dyDescent="0.3">
      <c r="BV5244" s="32">
        <f t="shared" ca="1" si="81"/>
        <v>121</v>
      </c>
    </row>
    <row r="5245" spans="74:74" x14ac:dyDescent="0.3">
      <c r="BV5245" s="32">
        <f t="shared" ca="1" si="81"/>
        <v>121</v>
      </c>
    </row>
    <row r="5246" spans="74:74" x14ac:dyDescent="0.3">
      <c r="BV5246" s="32">
        <f t="shared" ca="1" si="81"/>
        <v>121</v>
      </c>
    </row>
    <row r="5247" spans="74:74" x14ac:dyDescent="0.3">
      <c r="BV5247" s="32">
        <f t="shared" ca="1" si="81"/>
        <v>121</v>
      </c>
    </row>
    <row r="5248" spans="74:74" x14ac:dyDescent="0.3">
      <c r="BV5248" s="32">
        <f t="shared" ca="1" si="81"/>
        <v>121</v>
      </c>
    </row>
    <row r="5249" spans="74:74" x14ac:dyDescent="0.3">
      <c r="BV5249" s="32">
        <f t="shared" ca="1" si="81"/>
        <v>121</v>
      </c>
    </row>
    <row r="5250" spans="74:74" x14ac:dyDescent="0.3">
      <c r="BV5250" s="32">
        <f t="shared" ca="1" si="81"/>
        <v>121</v>
      </c>
    </row>
    <row r="5251" spans="74:74" x14ac:dyDescent="0.3">
      <c r="BV5251" s="32">
        <f t="shared" ca="1" si="81"/>
        <v>121</v>
      </c>
    </row>
    <row r="5252" spans="74:74" x14ac:dyDescent="0.3">
      <c r="BV5252" s="32">
        <f t="shared" ca="1" si="81"/>
        <v>121</v>
      </c>
    </row>
    <row r="5253" spans="74:74" x14ac:dyDescent="0.3">
      <c r="BV5253" s="32">
        <f t="shared" ca="1" si="81"/>
        <v>121</v>
      </c>
    </row>
    <row r="5254" spans="74:74" x14ac:dyDescent="0.3">
      <c r="BV5254" s="32">
        <f t="shared" ca="1" si="81"/>
        <v>121</v>
      </c>
    </row>
    <row r="5255" spans="74:74" x14ac:dyDescent="0.3">
      <c r="BV5255" s="32">
        <f t="shared" ca="1" si="81"/>
        <v>121</v>
      </c>
    </row>
    <row r="5256" spans="74:74" x14ac:dyDescent="0.3">
      <c r="BV5256" s="32">
        <f t="shared" ca="1" si="81"/>
        <v>121</v>
      </c>
    </row>
    <row r="5257" spans="74:74" x14ac:dyDescent="0.3">
      <c r="BV5257" s="32">
        <f t="shared" ca="1" si="81"/>
        <v>121</v>
      </c>
    </row>
    <row r="5258" spans="74:74" x14ac:dyDescent="0.3">
      <c r="BV5258" s="32">
        <f t="shared" ca="1" si="81"/>
        <v>121</v>
      </c>
    </row>
    <row r="5259" spans="74:74" x14ac:dyDescent="0.3">
      <c r="BV5259" s="32">
        <f t="shared" ca="1" si="81"/>
        <v>121</v>
      </c>
    </row>
    <row r="5260" spans="74:74" x14ac:dyDescent="0.3">
      <c r="BV5260" s="32">
        <f t="shared" ca="1" si="81"/>
        <v>121</v>
      </c>
    </row>
    <row r="5261" spans="74:74" x14ac:dyDescent="0.3">
      <c r="BV5261" s="32">
        <f t="shared" ref="BV5261:BV5324" ca="1" si="82">INT((TODAY()-$I5261)/365)</f>
        <v>121</v>
      </c>
    </row>
    <row r="5262" spans="74:74" x14ac:dyDescent="0.3">
      <c r="BV5262" s="32">
        <f t="shared" ca="1" si="82"/>
        <v>121</v>
      </c>
    </row>
    <row r="5263" spans="74:74" x14ac:dyDescent="0.3">
      <c r="BV5263" s="32">
        <f t="shared" ca="1" si="82"/>
        <v>121</v>
      </c>
    </row>
    <row r="5264" spans="74:74" x14ac:dyDescent="0.3">
      <c r="BV5264" s="32">
        <f t="shared" ca="1" si="82"/>
        <v>121</v>
      </c>
    </row>
    <row r="5265" spans="74:74" x14ac:dyDescent="0.3">
      <c r="BV5265" s="32">
        <f t="shared" ca="1" si="82"/>
        <v>121</v>
      </c>
    </row>
    <row r="5266" spans="74:74" x14ac:dyDescent="0.3">
      <c r="BV5266" s="32">
        <f t="shared" ca="1" si="82"/>
        <v>121</v>
      </c>
    </row>
    <row r="5267" spans="74:74" x14ac:dyDescent="0.3">
      <c r="BV5267" s="32">
        <f t="shared" ca="1" si="82"/>
        <v>121</v>
      </c>
    </row>
    <row r="5268" spans="74:74" x14ac:dyDescent="0.3">
      <c r="BV5268" s="32">
        <f t="shared" ca="1" si="82"/>
        <v>121</v>
      </c>
    </row>
    <row r="5269" spans="74:74" x14ac:dyDescent="0.3">
      <c r="BV5269" s="32">
        <f t="shared" ca="1" si="82"/>
        <v>121</v>
      </c>
    </row>
    <row r="5270" spans="74:74" x14ac:dyDescent="0.3">
      <c r="BV5270" s="32">
        <f t="shared" ca="1" si="82"/>
        <v>121</v>
      </c>
    </row>
    <row r="5271" spans="74:74" x14ac:dyDescent="0.3">
      <c r="BV5271" s="32">
        <f t="shared" ca="1" si="82"/>
        <v>121</v>
      </c>
    </row>
    <row r="5272" spans="74:74" x14ac:dyDescent="0.3">
      <c r="BV5272" s="32">
        <f t="shared" ca="1" si="82"/>
        <v>121</v>
      </c>
    </row>
    <row r="5273" spans="74:74" x14ac:dyDescent="0.3">
      <c r="BV5273" s="32">
        <f t="shared" ca="1" si="82"/>
        <v>121</v>
      </c>
    </row>
    <row r="5274" spans="74:74" x14ac:dyDescent="0.3">
      <c r="BV5274" s="32">
        <f t="shared" ca="1" si="82"/>
        <v>121</v>
      </c>
    </row>
    <row r="5275" spans="74:74" x14ac:dyDescent="0.3">
      <c r="BV5275" s="32">
        <f t="shared" ca="1" si="82"/>
        <v>121</v>
      </c>
    </row>
    <row r="5276" spans="74:74" x14ac:dyDescent="0.3">
      <c r="BV5276" s="32">
        <f t="shared" ca="1" si="82"/>
        <v>121</v>
      </c>
    </row>
    <row r="5277" spans="74:74" x14ac:dyDescent="0.3">
      <c r="BV5277" s="32">
        <f t="shared" ca="1" si="82"/>
        <v>121</v>
      </c>
    </row>
    <row r="5278" spans="74:74" x14ac:dyDescent="0.3">
      <c r="BV5278" s="32">
        <f t="shared" ca="1" si="82"/>
        <v>121</v>
      </c>
    </row>
    <row r="5279" spans="74:74" x14ac:dyDescent="0.3">
      <c r="BV5279" s="32">
        <f t="shared" ca="1" si="82"/>
        <v>121</v>
      </c>
    </row>
    <row r="5280" spans="74:74" x14ac:dyDescent="0.3">
      <c r="BV5280" s="32">
        <f t="shared" ca="1" si="82"/>
        <v>121</v>
      </c>
    </row>
    <row r="5281" spans="74:74" x14ac:dyDescent="0.3">
      <c r="BV5281" s="32">
        <f t="shared" ca="1" si="82"/>
        <v>121</v>
      </c>
    </row>
    <row r="5282" spans="74:74" x14ac:dyDescent="0.3">
      <c r="BV5282" s="32">
        <f t="shared" ca="1" si="82"/>
        <v>121</v>
      </c>
    </row>
    <row r="5283" spans="74:74" x14ac:dyDescent="0.3">
      <c r="BV5283" s="32">
        <f t="shared" ca="1" si="82"/>
        <v>121</v>
      </c>
    </row>
    <row r="5284" spans="74:74" x14ac:dyDescent="0.3">
      <c r="BV5284" s="32">
        <f t="shared" ca="1" si="82"/>
        <v>121</v>
      </c>
    </row>
    <row r="5285" spans="74:74" x14ac:dyDescent="0.3">
      <c r="BV5285" s="32">
        <f t="shared" ca="1" si="82"/>
        <v>121</v>
      </c>
    </row>
    <row r="5286" spans="74:74" x14ac:dyDescent="0.3">
      <c r="BV5286" s="32">
        <f t="shared" ca="1" si="82"/>
        <v>121</v>
      </c>
    </row>
    <row r="5287" spans="74:74" x14ac:dyDescent="0.3">
      <c r="BV5287" s="32">
        <f t="shared" ca="1" si="82"/>
        <v>121</v>
      </c>
    </row>
    <row r="5288" spans="74:74" x14ac:dyDescent="0.3">
      <c r="BV5288" s="32">
        <f t="shared" ca="1" si="82"/>
        <v>121</v>
      </c>
    </row>
    <row r="5289" spans="74:74" x14ac:dyDescent="0.3">
      <c r="BV5289" s="32">
        <f t="shared" ca="1" si="82"/>
        <v>121</v>
      </c>
    </row>
    <row r="5290" spans="74:74" x14ac:dyDescent="0.3">
      <c r="BV5290" s="32">
        <f t="shared" ca="1" si="82"/>
        <v>121</v>
      </c>
    </row>
    <row r="5291" spans="74:74" x14ac:dyDescent="0.3">
      <c r="BV5291" s="32">
        <f t="shared" ca="1" si="82"/>
        <v>121</v>
      </c>
    </row>
    <row r="5292" spans="74:74" x14ac:dyDescent="0.3">
      <c r="BV5292" s="32">
        <f t="shared" ca="1" si="82"/>
        <v>121</v>
      </c>
    </row>
    <row r="5293" spans="74:74" x14ac:dyDescent="0.3">
      <c r="BV5293" s="32">
        <f t="shared" ca="1" si="82"/>
        <v>121</v>
      </c>
    </row>
    <row r="5294" spans="74:74" x14ac:dyDescent="0.3">
      <c r="BV5294" s="32">
        <f t="shared" ca="1" si="82"/>
        <v>121</v>
      </c>
    </row>
    <row r="5295" spans="74:74" x14ac:dyDescent="0.3">
      <c r="BV5295" s="32">
        <f t="shared" ca="1" si="82"/>
        <v>121</v>
      </c>
    </row>
    <row r="5296" spans="74:74" x14ac:dyDescent="0.3">
      <c r="BV5296" s="32">
        <f t="shared" ca="1" si="82"/>
        <v>121</v>
      </c>
    </row>
    <row r="5297" spans="74:74" x14ac:dyDescent="0.3">
      <c r="BV5297" s="32">
        <f t="shared" ca="1" si="82"/>
        <v>121</v>
      </c>
    </row>
    <row r="5298" spans="74:74" x14ac:dyDescent="0.3">
      <c r="BV5298" s="32">
        <f t="shared" ca="1" si="82"/>
        <v>121</v>
      </c>
    </row>
    <row r="5299" spans="74:74" x14ac:dyDescent="0.3">
      <c r="BV5299" s="32">
        <f t="shared" ca="1" si="82"/>
        <v>121</v>
      </c>
    </row>
    <row r="5300" spans="74:74" x14ac:dyDescent="0.3">
      <c r="BV5300" s="32">
        <f t="shared" ca="1" si="82"/>
        <v>121</v>
      </c>
    </row>
    <row r="5301" spans="74:74" x14ac:dyDescent="0.3">
      <c r="BV5301" s="32">
        <f t="shared" ca="1" si="82"/>
        <v>121</v>
      </c>
    </row>
    <row r="5302" spans="74:74" x14ac:dyDescent="0.3">
      <c r="BV5302" s="32">
        <f t="shared" ca="1" si="82"/>
        <v>121</v>
      </c>
    </row>
    <row r="5303" spans="74:74" x14ac:dyDescent="0.3">
      <c r="BV5303" s="32">
        <f t="shared" ca="1" si="82"/>
        <v>121</v>
      </c>
    </row>
    <row r="5304" spans="74:74" x14ac:dyDescent="0.3">
      <c r="BV5304" s="32">
        <f t="shared" ca="1" si="82"/>
        <v>121</v>
      </c>
    </row>
    <row r="5305" spans="74:74" x14ac:dyDescent="0.3">
      <c r="BV5305" s="32">
        <f t="shared" ca="1" si="82"/>
        <v>121</v>
      </c>
    </row>
    <row r="5306" spans="74:74" x14ac:dyDescent="0.3">
      <c r="BV5306" s="32">
        <f t="shared" ca="1" si="82"/>
        <v>121</v>
      </c>
    </row>
    <row r="5307" spans="74:74" x14ac:dyDescent="0.3">
      <c r="BV5307" s="32">
        <f t="shared" ca="1" si="82"/>
        <v>121</v>
      </c>
    </row>
    <row r="5308" spans="74:74" x14ac:dyDescent="0.3">
      <c r="BV5308" s="32">
        <f t="shared" ca="1" si="82"/>
        <v>121</v>
      </c>
    </row>
    <row r="5309" spans="74:74" x14ac:dyDescent="0.3">
      <c r="BV5309" s="32">
        <f t="shared" ca="1" si="82"/>
        <v>121</v>
      </c>
    </row>
    <row r="5310" spans="74:74" x14ac:dyDescent="0.3">
      <c r="BV5310" s="32">
        <f t="shared" ca="1" si="82"/>
        <v>121</v>
      </c>
    </row>
    <row r="5311" spans="74:74" x14ac:dyDescent="0.3">
      <c r="BV5311" s="32">
        <f t="shared" ca="1" si="82"/>
        <v>121</v>
      </c>
    </row>
    <row r="5312" spans="74:74" x14ac:dyDescent="0.3">
      <c r="BV5312" s="32">
        <f t="shared" ca="1" si="82"/>
        <v>121</v>
      </c>
    </row>
    <row r="5313" spans="74:74" x14ac:dyDescent="0.3">
      <c r="BV5313" s="32">
        <f t="shared" ca="1" si="82"/>
        <v>121</v>
      </c>
    </row>
    <row r="5314" spans="74:74" x14ac:dyDescent="0.3">
      <c r="BV5314" s="32">
        <f t="shared" ca="1" si="82"/>
        <v>121</v>
      </c>
    </row>
    <row r="5315" spans="74:74" x14ac:dyDescent="0.3">
      <c r="BV5315" s="32">
        <f t="shared" ca="1" si="82"/>
        <v>121</v>
      </c>
    </row>
    <row r="5316" spans="74:74" x14ac:dyDescent="0.3">
      <c r="BV5316" s="32">
        <f t="shared" ca="1" si="82"/>
        <v>121</v>
      </c>
    </row>
    <row r="5317" spans="74:74" x14ac:dyDescent="0.3">
      <c r="BV5317" s="32">
        <f t="shared" ca="1" si="82"/>
        <v>121</v>
      </c>
    </row>
    <row r="5318" spans="74:74" x14ac:dyDescent="0.3">
      <c r="BV5318" s="32">
        <f t="shared" ca="1" si="82"/>
        <v>121</v>
      </c>
    </row>
    <row r="5319" spans="74:74" x14ac:dyDescent="0.3">
      <c r="BV5319" s="32">
        <f t="shared" ca="1" si="82"/>
        <v>121</v>
      </c>
    </row>
    <row r="5320" spans="74:74" x14ac:dyDescent="0.3">
      <c r="BV5320" s="32">
        <f t="shared" ca="1" si="82"/>
        <v>121</v>
      </c>
    </row>
    <row r="5321" spans="74:74" x14ac:dyDescent="0.3">
      <c r="BV5321" s="32">
        <f t="shared" ca="1" si="82"/>
        <v>121</v>
      </c>
    </row>
    <row r="5322" spans="74:74" x14ac:dyDescent="0.3">
      <c r="BV5322" s="32">
        <f t="shared" ca="1" si="82"/>
        <v>121</v>
      </c>
    </row>
    <row r="5323" spans="74:74" x14ac:dyDescent="0.3">
      <c r="BV5323" s="32">
        <f t="shared" ca="1" si="82"/>
        <v>121</v>
      </c>
    </row>
    <row r="5324" spans="74:74" x14ac:dyDescent="0.3">
      <c r="BV5324" s="32">
        <f t="shared" ca="1" si="82"/>
        <v>121</v>
      </c>
    </row>
    <row r="5325" spans="74:74" x14ac:dyDescent="0.3">
      <c r="BV5325" s="32">
        <f t="shared" ref="BV5325:BV5388" ca="1" si="83">INT((TODAY()-$I5325)/365)</f>
        <v>121</v>
      </c>
    </row>
    <row r="5326" spans="74:74" x14ac:dyDescent="0.3">
      <c r="BV5326" s="32">
        <f t="shared" ca="1" si="83"/>
        <v>121</v>
      </c>
    </row>
    <row r="5327" spans="74:74" x14ac:dyDescent="0.3">
      <c r="BV5327" s="32">
        <f t="shared" ca="1" si="83"/>
        <v>121</v>
      </c>
    </row>
    <row r="5328" spans="74:74" x14ac:dyDescent="0.3">
      <c r="BV5328" s="32">
        <f t="shared" ca="1" si="83"/>
        <v>121</v>
      </c>
    </row>
    <row r="5329" spans="74:74" x14ac:dyDescent="0.3">
      <c r="BV5329" s="32">
        <f t="shared" ca="1" si="83"/>
        <v>121</v>
      </c>
    </row>
    <row r="5330" spans="74:74" x14ac:dyDescent="0.3">
      <c r="BV5330" s="32">
        <f t="shared" ca="1" si="83"/>
        <v>121</v>
      </c>
    </row>
    <row r="5331" spans="74:74" x14ac:dyDescent="0.3">
      <c r="BV5331" s="32">
        <f t="shared" ca="1" si="83"/>
        <v>121</v>
      </c>
    </row>
    <row r="5332" spans="74:74" x14ac:dyDescent="0.3">
      <c r="BV5332" s="32">
        <f t="shared" ca="1" si="83"/>
        <v>121</v>
      </c>
    </row>
    <row r="5333" spans="74:74" x14ac:dyDescent="0.3">
      <c r="BV5333" s="32">
        <f t="shared" ca="1" si="83"/>
        <v>121</v>
      </c>
    </row>
    <row r="5334" spans="74:74" x14ac:dyDescent="0.3">
      <c r="BV5334" s="32">
        <f t="shared" ca="1" si="83"/>
        <v>121</v>
      </c>
    </row>
    <row r="5335" spans="74:74" x14ac:dyDescent="0.3">
      <c r="BV5335" s="32">
        <f t="shared" ca="1" si="83"/>
        <v>121</v>
      </c>
    </row>
    <row r="5336" spans="74:74" x14ac:dyDescent="0.3">
      <c r="BV5336" s="32">
        <f t="shared" ca="1" si="83"/>
        <v>121</v>
      </c>
    </row>
    <row r="5337" spans="74:74" x14ac:dyDescent="0.3">
      <c r="BV5337" s="32">
        <f t="shared" ca="1" si="83"/>
        <v>121</v>
      </c>
    </row>
    <row r="5338" spans="74:74" x14ac:dyDescent="0.3">
      <c r="BV5338" s="32">
        <f t="shared" ca="1" si="83"/>
        <v>121</v>
      </c>
    </row>
    <row r="5339" spans="74:74" x14ac:dyDescent="0.3">
      <c r="BV5339" s="32">
        <f t="shared" ca="1" si="83"/>
        <v>121</v>
      </c>
    </row>
    <row r="5340" spans="74:74" x14ac:dyDescent="0.3">
      <c r="BV5340" s="32">
        <f t="shared" ca="1" si="83"/>
        <v>121</v>
      </c>
    </row>
    <row r="5341" spans="74:74" x14ac:dyDescent="0.3">
      <c r="BV5341" s="32">
        <f t="shared" ca="1" si="83"/>
        <v>121</v>
      </c>
    </row>
    <row r="5342" spans="74:74" x14ac:dyDescent="0.3">
      <c r="BV5342" s="32">
        <f t="shared" ca="1" si="83"/>
        <v>121</v>
      </c>
    </row>
    <row r="5343" spans="74:74" x14ac:dyDescent="0.3">
      <c r="BV5343" s="32">
        <f t="shared" ca="1" si="83"/>
        <v>121</v>
      </c>
    </row>
    <row r="5344" spans="74:74" x14ac:dyDescent="0.3">
      <c r="BV5344" s="32">
        <f t="shared" ca="1" si="83"/>
        <v>121</v>
      </c>
    </row>
    <row r="5345" spans="74:74" x14ac:dyDescent="0.3">
      <c r="BV5345" s="32">
        <f t="shared" ca="1" si="83"/>
        <v>121</v>
      </c>
    </row>
    <row r="5346" spans="74:74" x14ac:dyDescent="0.3">
      <c r="BV5346" s="32">
        <f t="shared" ca="1" si="83"/>
        <v>121</v>
      </c>
    </row>
    <row r="5347" spans="74:74" x14ac:dyDescent="0.3">
      <c r="BV5347" s="32">
        <f t="shared" ca="1" si="83"/>
        <v>121</v>
      </c>
    </row>
    <row r="5348" spans="74:74" x14ac:dyDescent="0.3">
      <c r="BV5348" s="32">
        <f t="shared" ca="1" si="83"/>
        <v>121</v>
      </c>
    </row>
    <row r="5349" spans="74:74" x14ac:dyDescent="0.3">
      <c r="BV5349" s="32">
        <f t="shared" ca="1" si="83"/>
        <v>121</v>
      </c>
    </row>
    <row r="5350" spans="74:74" x14ac:dyDescent="0.3">
      <c r="BV5350" s="32">
        <f t="shared" ca="1" si="83"/>
        <v>121</v>
      </c>
    </row>
    <row r="5351" spans="74:74" x14ac:dyDescent="0.3">
      <c r="BV5351" s="32">
        <f t="shared" ca="1" si="83"/>
        <v>121</v>
      </c>
    </row>
    <row r="5352" spans="74:74" x14ac:dyDescent="0.3">
      <c r="BV5352" s="32">
        <f t="shared" ca="1" si="83"/>
        <v>121</v>
      </c>
    </row>
    <row r="5353" spans="74:74" x14ac:dyDescent="0.3">
      <c r="BV5353" s="32">
        <f t="shared" ca="1" si="83"/>
        <v>121</v>
      </c>
    </row>
    <row r="5354" spans="74:74" x14ac:dyDescent="0.3">
      <c r="BV5354" s="32">
        <f t="shared" ca="1" si="83"/>
        <v>121</v>
      </c>
    </row>
    <row r="5355" spans="74:74" x14ac:dyDescent="0.3">
      <c r="BV5355" s="32">
        <f t="shared" ca="1" si="83"/>
        <v>121</v>
      </c>
    </row>
    <row r="5356" spans="74:74" x14ac:dyDescent="0.3">
      <c r="BV5356" s="32">
        <f t="shared" ca="1" si="83"/>
        <v>121</v>
      </c>
    </row>
    <row r="5357" spans="74:74" x14ac:dyDescent="0.3">
      <c r="BV5357" s="32">
        <f t="shared" ca="1" si="83"/>
        <v>121</v>
      </c>
    </row>
    <row r="5358" spans="74:74" x14ac:dyDescent="0.3">
      <c r="BV5358" s="32">
        <f t="shared" ca="1" si="83"/>
        <v>121</v>
      </c>
    </row>
    <row r="5359" spans="74:74" x14ac:dyDescent="0.3">
      <c r="BV5359" s="32">
        <f t="shared" ca="1" si="83"/>
        <v>121</v>
      </c>
    </row>
    <row r="5360" spans="74:74" x14ac:dyDescent="0.3">
      <c r="BV5360" s="32">
        <f t="shared" ca="1" si="83"/>
        <v>121</v>
      </c>
    </row>
    <row r="5361" spans="74:74" x14ac:dyDescent="0.3">
      <c r="BV5361" s="32">
        <f t="shared" ca="1" si="83"/>
        <v>121</v>
      </c>
    </row>
    <row r="5362" spans="74:74" x14ac:dyDescent="0.3">
      <c r="BV5362" s="32">
        <f t="shared" ca="1" si="83"/>
        <v>121</v>
      </c>
    </row>
    <row r="5363" spans="74:74" x14ac:dyDescent="0.3">
      <c r="BV5363" s="32">
        <f t="shared" ca="1" si="83"/>
        <v>121</v>
      </c>
    </row>
    <row r="5364" spans="74:74" x14ac:dyDescent="0.3">
      <c r="BV5364" s="32">
        <f t="shared" ca="1" si="83"/>
        <v>121</v>
      </c>
    </row>
    <row r="5365" spans="74:74" x14ac:dyDescent="0.3">
      <c r="BV5365" s="32">
        <f t="shared" ca="1" si="83"/>
        <v>121</v>
      </c>
    </row>
    <row r="5366" spans="74:74" x14ac:dyDescent="0.3">
      <c r="BV5366" s="32">
        <f t="shared" ca="1" si="83"/>
        <v>121</v>
      </c>
    </row>
    <row r="5367" spans="74:74" x14ac:dyDescent="0.3">
      <c r="BV5367" s="32">
        <f t="shared" ca="1" si="83"/>
        <v>121</v>
      </c>
    </row>
    <row r="5368" spans="74:74" x14ac:dyDescent="0.3">
      <c r="BV5368" s="32">
        <f t="shared" ca="1" si="83"/>
        <v>121</v>
      </c>
    </row>
    <row r="5369" spans="74:74" x14ac:dyDescent="0.3">
      <c r="BV5369" s="32">
        <f t="shared" ca="1" si="83"/>
        <v>121</v>
      </c>
    </row>
    <row r="5370" spans="74:74" x14ac:dyDescent="0.3">
      <c r="BV5370" s="32">
        <f t="shared" ca="1" si="83"/>
        <v>121</v>
      </c>
    </row>
    <row r="5371" spans="74:74" x14ac:dyDescent="0.3">
      <c r="BV5371" s="32">
        <f t="shared" ca="1" si="83"/>
        <v>121</v>
      </c>
    </row>
    <row r="5372" spans="74:74" x14ac:dyDescent="0.3">
      <c r="BV5372" s="32">
        <f t="shared" ca="1" si="83"/>
        <v>121</v>
      </c>
    </row>
    <row r="5373" spans="74:74" x14ac:dyDescent="0.3">
      <c r="BV5373" s="32">
        <f t="shared" ca="1" si="83"/>
        <v>121</v>
      </c>
    </row>
    <row r="5374" spans="74:74" x14ac:dyDescent="0.3">
      <c r="BV5374" s="32">
        <f t="shared" ca="1" si="83"/>
        <v>121</v>
      </c>
    </row>
    <row r="5375" spans="74:74" x14ac:dyDescent="0.3">
      <c r="BV5375" s="32">
        <f t="shared" ca="1" si="83"/>
        <v>121</v>
      </c>
    </row>
    <row r="5376" spans="74:74" x14ac:dyDescent="0.3">
      <c r="BV5376" s="32">
        <f t="shared" ca="1" si="83"/>
        <v>121</v>
      </c>
    </row>
    <row r="5377" spans="74:74" x14ac:dyDescent="0.3">
      <c r="BV5377" s="32">
        <f t="shared" ca="1" si="83"/>
        <v>121</v>
      </c>
    </row>
    <row r="5378" spans="74:74" x14ac:dyDescent="0.3">
      <c r="BV5378" s="32">
        <f t="shared" ca="1" si="83"/>
        <v>121</v>
      </c>
    </row>
    <row r="5379" spans="74:74" x14ac:dyDescent="0.3">
      <c r="BV5379" s="32">
        <f t="shared" ca="1" si="83"/>
        <v>121</v>
      </c>
    </row>
    <row r="5380" spans="74:74" x14ac:dyDescent="0.3">
      <c r="BV5380" s="32">
        <f t="shared" ca="1" si="83"/>
        <v>121</v>
      </c>
    </row>
    <row r="5381" spans="74:74" x14ac:dyDescent="0.3">
      <c r="BV5381" s="32">
        <f t="shared" ca="1" si="83"/>
        <v>121</v>
      </c>
    </row>
    <row r="5382" spans="74:74" x14ac:dyDescent="0.3">
      <c r="BV5382" s="32">
        <f t="shared" ca="1" si="83"/>
        <v>121</v>
      </c>
    </row>
    <row r="5383" spans="74:74" x14ac:dyDescent="0.3">
      <c r="BV5383" s="32">
        <f t="shared" ca="1" si="83"/>
        <v>121</v>
      </c>
    </row>
    <row r="5384" spans="74:74" x14ac:dyDescent="0.3">
      <c r="BV5384" s="32">
        <f t="shared" ca="1" si="83"/>
        <v>121</v>
      </c>
    </row>
    <row r="5385" spans="74:74" x14ac:dyDescent="0.3">
      <c r="BV5385" s="32">
        <f t="shared" ca="1" si="83"/>
        <v>121</v>
      </c>
    </row>
    <row r="5386" spans="74:74" x14ac:dyDescent="0.3">
      <c r="BV5386" s="32">
        <f t="shared" ca="1" si="83"/>
        <v>121</v>
      </c>
    </row>
    <row r="5387" spans="74:74" x14ac:dyDescent="0.3">
      <c r="BV5387" s="32">
        <f t="shared" ca="1" si="83"/>
        <v>121</v>
      </c>
    </row>
    <row r="5388" spans="74:74" x14ac:dyDescent="0.3">
      <c r="BV5388" s="32">
        <f t="shared" ca="1" si="83"/>
        <v>121</v>
      </c>
    </row>
    <row r="5389" spans="74:74" x14ac:dyDescent="0.3">
      <c r="BV5389" s="32">
        <f t="shared" ref="BV5389:BV5452" ca="1" si="84">INT((TODAY()-$I5389)/365)</f>
        <v>121</v>
      </c>
    </row>
    <row r="5390" spans="74:74" x14ac:dyDescent="0.3">
      <c r="BV5390" s="32">
        <f t="shared" ca="1" si="84"/>
        <v>121</v>
      </c>
    </row>
    <row r="5391" spans="74:74" x14ac:dyDescent="0.3">
      <c r="BV5391" s="32">
        <f t="shared" ca="1" si="84"/>
        <v>121</v>
      </c>
    </row>
    <row r="5392" spans="74:74" x14ac:dyDescent="0.3">
      <c r="BV5392" s="32">
        <f t="shared" ca="1" si="84"/>
        <v>121</v>
      </c>
    </row>
    <row r="5393" spans="74:74" x14ac:dyDescent="0.3">
      <c r="BV5393" s="32">
        <f t="shared" ca="1" si="84"/>
        <v>121</v>
      </c>
    </row>
    <row r="5394" spans="74:74" x14ac:dyDescent="0.3">
      <c r="BV5394" s="32">
        <f t="shared" ca="1" si="84"/>
        <v>121</v>
      </c>
    </row>
    <row r="5395" spans="74:74" x14ac:dyDescent="0.3">
      <c r="BV5395" s="32">
        <f t="shared" ca="1" si="84"/>
        <v>121</v>
      </c>
    </row>
    <row r="5396" spans="74:74" x14ac:dyDescent="0.3">
      <c r="BV5396" s="32">
        <f t="shared" ca="1" si="84"/>
        <v>121</v>
      </c>
    </row>
    <row r="5397" spans="74:74" x14ac:dyDescent="0.3">
      <c r="BV5397" s="32">
        <f t="shared" ca="1" si="84"/>
        <v>121</v>
      </c>
    </row>
    <row r="5398" spans="74:74" x14ac:dyDescent="0.3">
      <c r="BV5398" s="32">
        <f t="shared" ca="1" si="84"/>
        <v>121</v>
      </c>
    </row>
    <row r="5399" spans="74:74" x14ac:dyDescent="0.3">
      <c r="BV5399" s="32">
        <f t="shared" ca="1" si="84"/>
        <v>121</v>
      </c>
    </row>
    <row r="5400" spans="74:74" x14ac:dyDescent="0.3">
      <c r="BV5400" s="32">
        <f t="shared" ca="1" si="84"/>
        <v>121</v>
      </c>
    </row>
    <row r="5401" spans="74:74" x14ac:dyDescent="0.3">
      <c r="BV5401" s="32">
        <f t="shared" ca="1" si="84"/>
        <v>121</v>
      </c>
    </row>
    <row r="5402" spans="74:74" x14ac:dyDescent="0.3">
      <c r="BV5402" s="32">
        <f t="shared" ca="1" si="84"/>
        <v>121</v>
      </c>
    </row>
    <row r="5403" spans="74:74" x14ac:dyDescent="0.3">
      <c r="BV5403" s="32">
        <f t="shared" ca="1" si="84"/>
        <v>121</v>
      </c>
    </row>
    <row r="5404" spans="74:74" x14ac:dyDescent="0.3">
      <c r="BV5404" s="32">
        <f t="shared" ca="1" si="84"/>
        <v>121</v>
      </c>
    </row>
    <row r="5405" spans="74:74" x14ac:dyDescent="0.3">
      <c r="BV5405" s="32">
        <f t="shared" ca="1" si="84"/>
        <v>121</v>
      </c>
    </row>
    <row r="5406" spans="74:74" x14ac:dyDescent="0.3">
      <c r="BV5406" s="32">
        <f t="shared" ca="1" si="84"/>
        <v>121</v>
      </c>
    </row>
    <row r="5407" spans="74:74" x14ac:dyDescent="0.3">
      <c r="BV5407" s="32">
        <f t="shared" ca="1" si="84"/>
        <v>121</v>
      </c>
    </row>
    <row r="5408" spans="74:74" x14ac:dyDescent="0.3">
      <c r="BV5408" s="32">
        <f t="shared" ca="1" si="84"/>
        <v>121</v>
      </c>
    </row>
    <row r="5409" spans="74:74" x14ac:dyDescent="0.3">
      <c r="BV5409" s="32">
        <f t="shared" ca="1" si="84"/>
        <v>121</v>
      </c>
    </row>
    <row r="5410" spans="74:74" x14ac:dyDescent="0.3">
      <c r="BV5410" s="32">
        <f t="shared" ca="1" si="84"/>
        <v>121</v>
      </c>
    </row>
    <row r="5411" spans="74:74" x14ac:dyDescent="0.3">
      <c r="BV5411" s="32">
        <f t="shared" ca="1" si="84"/>
        <v>121</v>
      </c>
    </row>
    <row r="5412" spans="74:74" x14ac:dyDescent="0.3">
      <c r="BV5412" s="32">
        <f t="shared" ca="1" si="84"/>
        <v>121</v>
      </c>
    </row>
    <row r="5413" spans="74:74" x14ac:dyDescent="0.3">
      <c r="BV5413" s="32">
        <f t="shared" ca="1" si="84"/>
        <v>121</v>
      </c>
    </row>
    <row r="5414" spans="74:74" x14ac:dyDescent="0.3">
      <c r="BV5414" s="32">
        <f t="shared" ca="1" si="84"/>
        <v>121</v>
      </c>
    </row>
    <row r="5415" spans="74:74" x14ac:dyDescent="0.3">
      <c r="BV5415" s="32">
        <f t="shared" ca="1" si="84"/>
        <v>121</v>
      </c>
    </row>
    <row r="5416" spans="74:74" x14ac:dyDescent="0.3">
      <c r="BV5416" s="32">
        <f t="shared" ca="1" si="84"/>
        <v>121</v>
      </c>
    </row>
    <row r="5417" spans="74:74" x14ac:dyDescent="0.3">
      <c r="BV5417" s="32">
        <f t="shared" ca="1" si="84"/>
        <v>121</v>
      </c>
    </row>
    <row r="5418" spans="74:74" x14ac:dyDescent="0.3">
      <c r="BV5418" s="32">
        <f t="shared" ca="1" si="84"/>
        <v>121</v>
      </c>
    </row>
    <row r="5419" spans="74:74" x14ac:dyDescent="0.3">
      <c r="BV5419" s="32">
        <f t="shared" ca="1" si="84"/>
        <v>121</v>
      </c>
    </row>
    <row r="5420" spans="74:74" x14ac:dyDescent="0.3">
      <c r="BV5420" s="32">
        <f t="shared" ca="1" si="84"/>
        <v>121</v>
      </c>
    </row>
    <row r="5421" spans="74:74" x14ac:dyDescent="0.3">
      <c r="BV5421" s="32">
        <f t="shared" ca="1" si="84"/>
        <v>121</v>
      </c>
    </row>
    <row r="5422" spans="74:74" x14ac:dyDescent="0.3">
      <c r="BV5422" s="32">
        <f t="shared" ca="1" si="84"/>
        <v>121</v>
      </c>
    </row>
    <row r="5423" spans="74:74" x14ac:dyDescent="0.3">
      <c r="BV5423" s="32">
        <f t="shared" ca="1" si="84"/>
        <v>121</v>
      </c>
    </row>
    <row r="5424" spans="74:74" x14ac:dyDescent="0.3">
      <c r="BV5424" s="32">
        <f t="shared" ca="1" si="84"/>
        <v>121</v>
      </c>
    </row>
    <row r="5425" spans="74:74" x14ac:dyDescent="0.3">
      <c r="BV5425" s="32">
        <f t="shared" ca="1" si="84"/>
        <v>121</v>
      </c>
    </row>
    <row r="5426" spans="74:74" x14ac:dyDescent="0.3">
      <c r="BV5426" s="32">
        <f t="shared" ca="1" si="84"/>
        <v>121</v>
      </c>
    </row>
    <row r="5427" spans="74:74" x14ac:dyDescent="0.3">
      <c r="BV5427" s="32">
        <f t="shared" ca="1" si="84"/>
        <v>121</v>
      </c>
    </row>
    <row r="5428" spans="74:74" x14ac:dyDescent="0.3">
      <c r="BV5428" s="32">
        <f t="shared" ca="1" si="84"/>
        <v>121</v>
      </c>
    </row>
    <row r="5429" spans="74:74" x14ac:dyDescent="0.3">
      <c r="BV5429" s="32">
        <f t="shared" ca="1" si="84"/>
        <v>121</v>
      </c>
    </row>
    <row r="5430" spans="74:74" x14ac:dyDescent="0.3">
      <c r="BV5430" s="32">
        <f t="shared" ca="1" si="84"/>
        <v>121</v>
      </c>
    </row>
    <row r="5431" spans="74:74" x14ac:dyDescent="0.3">
      <c r="BV5431" s="32">
        <f t="shared" ca="1" si="84"/>
        <v>121</v>
      </c>
    </row>
    <row r="5432" spans="74:74" x14ac:dyDescent="0.3">
      <c r="BV5432" s="32">
        <f t="shared" ca="1" si="84"/>
        <v>121</v>
      </c>
    </row>
    <row r="5433" spans="74:74" x14ac:dyDescent="0.3">
      <c r="BV5433" s="32">
        <f t="shared" ca="1" si="84"/>
        <v>121</v>
      </c>
    </row>
    <row r="5434" spans="74:74" x14ac:dyDescent="0.3">
      <c r="BV5434" s="32">
        <f t="shared" ca="1" si="84"/>
        <v>121</v>
      </c>
    </row>
    <row r="5435" spans="74:74" x14ac:dyDescent="0.3">
      <c r="BV5435" s="32">
        <f t="shared" ca="1" si="84"/>
        <v>121</v>
      </c>
    </row>
    <row r="5436" spans="74:74" x14ac:dyDescent="0.3">
      <c r="BV5436" s="32">
        <f t="shared" ca="1" si="84"/>
        <v>121</v>
      </c>
    </row>
    <row r="5437" spans="74:74" x14ac:dyDescent="0.3">
      <c r="BV5437" s="32">
        <f t="shared" ca="1" si="84"/>
        <v>121</v>
      </c>
    </row>
    <row r="5438" spans="74:74" x14ac:dyDescent="0.3">
      <c r="BV5438" s="32">
        <f t="shared" ca="1" si="84"/>
        <v>121</v>
      </c>
    </row>
    <row r="5439" spans="74:74" x14ac:dyDescent="0.3">
      <c r="BV5439" s="32">
        <f t="shared" ca="1" si="84"/>
        <v>121</v>
      </c>
    </row>
    <row r="5440" spans="74:74" x14ac:dyDescent="0.3">
      <c r="BV5440" s="32">
        <f t="shared" ca="1" si="84"/>
        <v>121</v>
      </c>
    </row>
    <row r="5441" spans="74:74" x14ac:dyDescent="0.3">
      <c r="BV5441" s="32">
        <f t="shared" ca="1" si="84"/>
        <v>121</v>
      </c>
    </row>
    <row r="5442" spans="74:74" x14ac:dyDescent="0.3">
      <c r="BV5442" s="32">
        <f t="shared" ca="1" si="84"/>
        <v>121</v>
      </c>
    </row>
    <row r="5443" spans="74:74" x14ac:dyDescent="0.3">
      <c r="BV5443" s="32">
        <f t="shared" ca="1" si="84"/>
        <v>121</v>
      </c>
    </row>
    <row r="5444" spans="74:74" x14ac:dyDescent="0.3">
      <c r="BV5444" s="32">
        <f t="shared" ca="1" si="84"/>
        <v>121</v>
      </c>
    </row>
    <row r="5445" spans="74:74" x14ac:dyDescent="0.3">
      <c r="BV5445" s="32">
        <f t="shared" ca="1" si="84"/>
        <v>121</v>
      </c>
    </row>
    <row r="5446" spans="74:74" x14ac:dyDescent="0.3">
      <c r="BV5446" s="32">
        <f t="shared" ca="1" si="84"/>
        <v>121</v>
      </c>
    </row>
    <row r="5447" spans="74:74" x14ac:dyDescent="0.3">
      <c r="BV5447" s="32">
        <f t="shared" ca="1" si="84"/>
        <v>121</v>
      </c>
    </row>
    <row r="5448" spans="74:74" x14ac:dyDescent="0.3">
      <c r="BV5448" s="32">
        <f t="shared" ca="1" si="84"/>
        <v>121</v>
      </c>
    </row>
    <row r="5449" spans="74:74" x14ac:dyDescent="0.3">
      <c r="BV5449" s="32">
        <f t="shared" ca="1" si="84"/>
        <v>121</v>
      </c>
    </row>
    <row r="5450" spans="74:74" x14ac:dyDescent="0.3">
      <c r="BV5450" s="32">
        <f t="shared" ca="1" si="84"/>
        <v>121</v>
      </c>
    </row>
    <row r="5451" spans="74:74" x14ac:dyDescent="0.3">
      <c r="BV5451" s="32">
        <f t="shared" ca="1" si="84"/>
        <v>121</v>
      </c>
    </row>
    <row r="5452" spans="74:74" x14ac:dyDescent="0.3">
      <c r="BV5452" s="32">
        <f t="shared" ca="1" si="84"/>
        <v>121</v>
      </c>
    </row>
    <row r="5453" spans="74:74" x14ac:dyDescent="0.3">
      <c r="BV5453" s="32">
        <f t="shared" ref="BV5453:BV5516" ca="1" si="85">INT((TODAY()-$I5453)/365)</f>
        <v>121</v>
      </c>
    </row>
    <row r="5454" spans="74:74" x14ac:dyDescent="0.3">
      <c r="BV5454" s="32">
        <f t="shared" ca="1" si="85"/>
        <v>121</v>
      </c>
    </row>
    <row r="5455" spans="74:74" x14ac:dyDescent="0.3">
      <c r="BV5455" s="32">
        <f t="shared" ca="1" si="85"/>
        <v>121</v>
      </c>
    </row>
    <row r="5456" spans="74:74" x14ac:dyDescent="0.3">
      <c r="BV5456" s="32">
        <f t="shared" ca="1" si="85"/>
        <v>121</v>
      </c>
    </row>
    <row r="5457" spans="74:74" x14ac:dyDescent="0.3">
      <c r="BV5457" s="32">
        <f t="shared" ca="1" si="85"/>
        <v>121</v>
      </c>
    </row>
    <row r="5458" spans="74:74" x14ac:dyDescent="0.3">
      <c r="BV5458" s="32">
        <f t="shared" ca="1" si="85"/>
        <v>121</v>
      </c>
    </row>
    <row r="5459" spans="74:74" x14ac:dyDescent="0.3">
      <c r="BV5459" s="32">
        <f t="shared" ca="1" si="85"/>
        <v>121</v>
      </c>
    </row>
    <row r="5460" spans="74:74" x14ac:dyDescent="0.3">
      <c r="BV5460" s="32">
        <f t="shared" ca="1" si="85"/>
        <v>121</v>
      </c>
    </row>
    <row r="5461" spans="74:74" x14ac:dyDescent="0.3">
      <c r="BV5461" s="32">
        <f t="shared" ca="1" si="85"/>
        <v>121</v>
      </c>
    </row>
    <row r="5462" spans="74:74" x14ac:dyDescent="0.3">
      <c r="BV5462" s="32">
        <f t="shared" ca="1" si="85"/>
        <v>121</v>
      </c>
    </row>
    <row r="5463" spans="74:74" x14ac:dyDescent="0.3">
      <c r="BV5463" s="32">
        <f t="shared" ca="1" si="85"/>
        <v>121</v>
      </c>
    </row>
    <row r="5464" spans="74:74" x14ac:dyDescent="0.3">
      <c r="BV5464" s="32">
        <f t="shared" ca="1" si="85"/>
        <v>121</v>
      </c>
    </row>
    <row r="5465" spans="74:74" x14ac:dyDescent="0.3">
      <c r="BV5465" s="32">
        <f t="shared" ca="1" si="85"/>
        <v>121</v>
      </c>
    </row>
    <row r="5466" spans="74:74" x14ac:dyDescent="0.3">
      <c r="BV5466" s="32">
        <f t="shared" ca="1" si="85"/>
        <v>121</v>
      </c>
    </row>
    <row r="5467" spans="74:74" x14ac:dyDescent="0.3">
      <c r="BV5467" s="32">
        <f t="shared" ca="1" si="85"/>
        <v>121</v>
      </c>
    </row>
    <row r="5468" spans="74:74" x14ac:dyDescent="0.3">
      <c r="BV5468" s="32">
        <f t="shared" ca="1" si="85"/>
        <v>121</v>
      </c>
    </row>
    <row r="5469" spans="74:74" x14ac:dyDescent="0.3">
      <c r="BV5469" s="32">
        <f t="shared" ca="1" si="85"/>
        <v>121</v>
      </c>
    </row>
    <row r="5470" spans="74:74" x14ac:dyDescent="0.3">
      <c r="BV5470" s="32">
        <f t="shared" ca="1" si="85"/>
        <v>121</v>
      </c>
    </row>
    <row r="5471" spans="74:74" x14ac:dyDescent="0.3">
      <c r="BV5471" s="32">
        <f t="shared" ca="1" si="85"/>
        <v>121</v>
      </c>
    </row>
    <row r="5472" spans="74:74" x14ac:dyDescent="0.3">
      <c r="BV5472" s="32">
        <f t="shared" ca="1" si="85"/>
        <v>121</v>
      </c>
    </row>
    <row r="5473" spans="74:74" x14ac:dyDescent="0.3">
      <c r="BV5473" s="32">
        <f t="shared" ca="1" si="85"/>
        <v>121</v>
      </c>
    </row>
    <row r="5474" spans="74:74" x14ac:dyDescent="0.3">
      <c r="BV5474" s="32">
        <f t="shared" ca="1" si="85"/>
        <v>121</v>
      </c>
    </row>
    <row r="5475" spans="74:74" x14ac:dyDescent="0.3">
      <c r="BV5475" s="32">
        <f t="shared" ca="1" si="85"/>
        <v>121</v>
      </c>
    </row>
    <row r="5476" spans="74:74" x14ac:dyDescent="0.3">
      <c r="BV5476" s="32">
        <f t="shared" ca="1" si="85"/>
        <v>121</v>
      </c>
    </row>
    <row r="5477" spans="74:74" x14ac:dyDescent="0.3">
      <c r="BV5477" s="32">
        <f t="shared" ca="1" si="85"/>
        <v>121</v>
      </c>
    </row>
    <row r="5478" spans="74:74" x14ac:dyDescent="0.3">
      <c r="BV5478" s="32">
        <f t="shared" ca="1" si="85"/>
        <v>121</v>
      </c>
    </row>
    <row r="5479" spans="74:74" x14ac:dyDescent="0.3">
      <c r="BV5479" s="32">
        <f t="shared" ca="1" si="85"/>
        <v>121</v>
      </c>
    </row>
    <row r="5480" spans="74:74" x14ac:dyDescent="0.3">
      <c r="BV5480" s="32">
        <f t="shared" ca="1" si="85"/>
        <v>121</v>
      </c>
    </row>
    <row r="5481" spans="74:74" x14ac:dyDescent="0.3">
      <c r="BV5481" s="32">
        <f t="shared" ca="1" si="85"/>
        <v>121</v>
      </c>
    </row>
    <row r="5482" spans="74:74" x14ac:dyDescent="0.3">
      <c r="BV5482" s="32">
        <f t="shared" ca="1" si="85"/>
        <v>121</v>
      </c>
    </row>
    <row r="5483" spans="74:74" x14ac:dyDescent="0.3">
      <c r="BV5483" s="32">
        <f t="shared" ca="1" si="85"/>
        <v>121</v>
      </c>
    </row>
    <row r="5484" spans="74:74" x14ac:dyDescent="0.3">
      <c r="BV5484" s="32">
        <f t="shared" ca="1" si="85"/>
        <v>121</v>
      </c>
    </row>
    <row r="5485" spans="74:74" x14ac:dyDescent="0.3">
      <c r="BV5485" s="32">
        <f t="shared" ca="1" si="85"/>
        <v>121</v>
      </c>
    </row>
    <row r="5486" spans="74:74" x14ac:dyDescent="0.3">
      <c r="BV5486" s="32">
        <f t="shared" ca="1" si="85"/>
        <v>121</v>
      </c>
    </row>
    <row r="5487" spans="74:74" x14ac:dyDescent="0.3">
      <c r="BV5487" s="32">
        <f t="shared" ca="1" si="85"/>
        <v>121</v>
      </c>
    </row>
    <row r="5488" spans="74:74" x14ac:dyDescent="0.3">
      <c r="BV5488" s="32">
        <f t="shared" ca="1" si="85"/>
        <v>121</v>
      </c>
    </row>
    <row r="5489" spans="74:74" x14ac:dyDescent="0.3">
      <c r="BV5489" s="32">
        <f t="shared" ca="1" si="85"/>
        <v>121</v>
      </c>
    </row>
    <row r="5490" spans="74:74" x14ac:dyDescent="0.3">
      <c r="BV5490" s="32">
        <f t="shared" ca="1" si="85"/>
        <v>121</v>
      </c>
    </row>
    <row r="5491" spans="74:74" x14ac:dyDescent="0.3">
      <c r="BV5491" s="32">
        <f t="shared" ca="1" si="85"/>
        <v>121</v>
      </c>
    </row>
    <row r="5492" spans="74:74" x14ac:dyDescent="0.3">
      <c r="BV5492" s="32">
        <f t="shared" ca="1" si="85"/>
        <v>121</v>
      </c>
    </row>
    <row r="5493" spans="74:74" x14ac:dyDescent="0.3">
      <c r="BV5493" s="32">
        <f t="shared" ca="1" si="85"/>
        <v>121</v>
      </c>
    </row>
    <row r="5494" spans="74:74" x14ac:dyDescent="0.3">
      <c r="BV5494" s="32">
        <f t="shared" ca="1" si="85"/>
        <v>121</v>
      </c>
    </row>
    <row r="5495" spans="74:74" x14ac:dyDescent="0.3">
      <c r="BV5495" s="32">
        <f t="shared" ca="1" si="85"/>
        <v>121</v>
      </c>
    </row>
    <row r="5496" spans="74:74" x14ac:dyDescent="0.3">
      <c r="BV5496" s="32">
        <f t="shared" ca="1" si="85"/>
        <v>121</v>
      </c>
    </row>
    <row r="5497" spans="74:74" x14ac:dyDescent="0.3">
      <c r="BV5497" s="32">
        <f t="shared" ca="1" si="85"/>
        <v>121</v>
      </c>
    </row>
    <row r="5498" spans="74:74" x14ac:dyDescent="0.3">
      <c r="BV5498" s="32">
        <f t="shared" ca="1" si="85"/>
        <v>121</v>
      </c>
    </row>
    <row r="5499" spans="74:74" x14ac:dyDescent="0.3">
      <c r="BV5499" s="32">
        <f t="shared" ca="1" si="85"/>
        <v>121</v>
      </c>
    </row>
    <row r="5500" spans="74:74" x14ac:dyDescent="0.3">
      <c r="BV5500" s="32">
        <f t="shared" ca="1" si="85"/>
        <v>121</v>
      </c>
    </row>
    <row r="5501" spans="74:74" x14ac:dyDescent="0.3">
      <c r="BV5501" s="32">
        <f t="shared" ca="1" si="85"/>
        <v>121</v>
      </c>
    </row>
    <row r="5502" spans="74:74" x14ac:dyDescent="0.3">
      <c r="BV5502" s="32">
        <f t="shared" ca="1" si="85"/>
        <v>121</v>
      </c>
    </row>
    <row r="5503" spans="74:74" x14ac:dyDescent="0.3">
      <c r="BV5503" s="32">
        <f t="shared" ca="1" si="85"/>
        <v>121</v>
      </c>
    </row>
    <row r="5504" spans="74:74" x14ac:dyDescent="0.3">
      <c r="BV5504" s="32">
        <f t="shared" ca="1" si="85"/>
        <v>121</v>
      </c>
    </row>
    <row r="5505" spans="74:74" x14ac:dyDescent="0.3">
      <c r="BV5505" s="32">
        <f t="shared" ca="1" si="85"/>
        <v>121</v>
      </c>
    </row>
    <row r="5506" spans="74:74" x14ac:dyDescent="0.3">
      <c r="BV5506" s="32">
        <f t="shared" ca="1" si="85"/>
        <v>121</v>
      </c>
    </row>
    <row r="5507" spans="74:74" x14ac:dyDescent="0.3">
      <c r="BV5507" s="32">
        <f t="shared" ca="1" si="85"/>
        <v>121</v>
      </c>
    </row>
    <row r="5508" spans="74:74" x14ac:dyDescent="0.3">
      <c r="BV5508" s="32">
        <f t="shared" ca="1" si="85"/>
        <v>121</v>
      </c>
    </row>
    <row r="5509" spans="74:74" x14ac:dyDescent="0.3">
      <c r="BV5509" s="32">
        <f t="shared" ca="1" si="85"/>
        <v>121</v>
      </c>
    </row>
    <row r="5510" spans="74:74" x14ac:dyDescent="0.3">
      <c r="BV5510" s="32">
        <f t="shared" ca="1" si="85"/>
        <v>121</v>
      </c>
    </row>
    <row r="5511" spans="74:74" x14ac:dyDescent="0.3">
      <c r="BV5511" s="32">
        <f t="shared" ca="1" si="85"/>
        <v>121</v>
      </c>
    </row>
    <row r="5512" spans="74:74" x14ac:dyDescent="0.3">
      <c r="BV5512" s="32">
        <f t="shared" ca="1" si="85"/>
        <v>121</v>
      </c>
    </row>
    <row r="5513" spans="74:74" x14ac:dyDescent="0.3">
      <c r="BV5513" s="32">
        <f t="shared" ca="1" si="85"/>
        <v>121</v>
      </c>
    </row>
    <row r="5514" spans="74:74" x14ac:dyDescent="0.3">
      <c r="BV5514" s="32">
        <f t="shared" ca="1" si="85"/>
        <v>121</v>
      </c>
    </row>
    <row r="5515" spans="74:74" x14ac:dyDescent="0.3">
      <c r="BV5515" s="32">
        <f t="shared" ca="1" si="85"/>
        <v>121</v>
      </c>
    </row>
    <row r="5516" spans="74:74" x14ac:dyDescent="0.3">
      <c r="BV5516" s="32">
        <f t="shared" ca="1" si="85"/>
        <v>121</v>
      </c>
    </row>
    <row r="5517" spans="74:74" x14ac:dyDescent="0.3">
      <c r="BV5517" s="32">
        <f t="shared" ref="BV5517:BV5580" ca="1" si="86">INT((TODAY()-$I5517)/365)</f>
        <v>121</v>
      </c>
    </row>
    <row r="5518" spans="74:74" x14ac:dyDescent="0.3">
      <c r="BV5518" s="32">
        <f t="shared" ca="1" si="86"/>
        <v>121</v>
      </c>
    </row>
    <row r="5519" spans="74:74" x14ac:dyDescent="0.3">
      <c r="BV5519" s="32">
        <f t="shared" ca="1" si="86"/>
        <v>121</v>
      </c>
    </row>
    <row r="5520" spans="74:74" x14ac:dyDescent="0.3">
      <c r="BV5520" s="32">
        <f t="shared" ca="1" si="86"/>
        <v>121</v>
      </c>
    </row>
    <row r="5521" spans="74:74" x14ac:dyDescent="0.3">
      <c r="BV5521" s="32">
        <f t="shared" ca="1" si="86"/>
        <v>121</v>
      </c>
    </row>
    <row r="5522" spans="74:74" x14ac:dyDescent="0.3">
      <c r="BV5522" s="32">
        <f t="shared" ca="1" si="86"/>
        <v>121</v>
      </c>
    </row>
    <row r="5523" spans="74:74" x14ac:dyDescent="0.3">
      <c r="BV5523" s="32">
        <f t="shared" ca="1" si="86"/>
        <v>121</v>
      </c>
    </row>
    <row r="5524" spans="74:74" x14ac:dyDescent="0.3">
      <c r="BV5524" s="32">
        <f t="shared" ca="1" si="86"/>
        <v>121</v>
      </c>
    </row>
    <row r="5525" spans="74:74" x14ac:dyDescent="0.3">
      <c r="BV5525" s="32">
        <f t="shared" ca="1" si="86"/>
        <v>121</v>
      </c>
    </row>
    <row r="5526" spans="74:74" x14ac:dyDescent="0.3">
      <c r="BV5526" s="32">
        <f t="shared" ca="1" si="86"/>
        <v>121</v>
      </c>
    </row>
    <row r="5527" spans="74:74" x14ac:dyDescent="0.3">
      <c r="BV5527" s="32">
        <f t="shared" ca="1" si="86"/>
        <v>121</v>
      </c>
    </row>
    <row r="5528" spans="74:74" x14ac:dyDescent="0.3">
      <c r="BV5528" s="32">
        <f t="shared" ca="1" si="86"/>
        <v>121</v>
      </c>
    </row>
    <row r="5529" spans="74:74" x14ac:dyDescent="0.3">
      <c r="BV5529" s="32">
        <f t="shared" ca="1" si="86"/>
        <v>121</v>
      </c>
    </row>
    <row r="5530" spans="74:74" x14ac:dyDescent="0.3">
      <c r="BV5530" s="32">
        <f t="shared" ca="1" si="86"/>
        <v>121</v>
      </c>
    </row>
    <row r="5531" spans="74:74" x14ac:dyDescent="0.3">
      <c r="BV5531" s="32">
        <f t="shared" ca="1" si="86"/>
        <v>121</v>
      </c>
    </row>
    <row r="5532" spans="74:74" x14ac:dyDescent="0.3">
      <c r="BV5532" s="32">
        <f t="shared" ca="1" si="86"/>
        <v>121</v>
      </c>
    </row>
    <row r="5533" spans="74:74" x14ac:dyDescent="0.3">
      <c r="BV5533" s="32">
        <f t="shared" ca="1" si="86"/>
        <v>121</v>
      </c>
    </row>
    <row r="5534" spans="74:74" x14ac:dyDescent="0.3">
      <c r="BV5534" s="32">
        <f t="shared" ca="1" si="86"/>
        <v>121</v>
      </c>
    </row>
    <row r="5535" spans="74:74" x14ac:dyDescent="0.3">
      <c r="BV5535" s="32">
        <f t="shared" ca="1" si="86"/>
        <v>121</v>
      </c>
    </row>
    <row r="5536" spans="74:74" x14ac:dyDescent="0.3">
      <c r="BV5536" s="32">
        <f t="shared" ca="1" si="86"/>
        <v>121</v>
      </c>
    </row>
    <row r="5537" spans="74:74" x14ac:dyDescent="0.3">
      <c r="BV5537" s="32">
        <f t="shared" ca="1" si="86"/>
        <v>121</v>
      </c>
    </row>
    <row r="5538" spans="74:74" x14ac:dyDescent="0.3">
      <c r="BV5538" s="32">
        <f t="shared" ca="1" si="86"/>
        <v>121</v>
      </c>
    </row>
    <row r="5539" spans="74:74" x14ac:dyDescent="0.3">
      <c r="BV5539" s="32">
        <f t="shared" ca="1" si="86"/>
        <v>121</v>
      </c>
    </row>
    <row r="5540" spans="74:74" x14ac:dyDescent="0.3">
      <c r="BV5540" s="32">
        <f t="shared" ca="1" si="86"/>
        <v>121</v>
      </c>
    </row>
    <row r="5541" spans="74:74" x14ac:dyDescent="0.3">
      <c r="BV5541" s="32">
        <f t="shared" ca="1" si="86"/>
        <v>121</v>
      </c>
    </row>
    <row r="5542" spans="74:74" x14ac:dyDescent="0.3">
      <c r="BV5542" s="32">
        <f t="shared" ca="1" si="86"/>
        <v>121</v>
      </c>
    </row>
    <row r="5543" spans="74:74" x14ac:dyDescent="0.3">
      <c r="BV5543" s="32">
        <f t="shared" ca="1" si="86"/>
        <v>121</v>
      </c>
    </row>
    <row r="5544" spans="74:74" x14ac:dyDescent="0.3">
      <c r="BV5544" s="32">
        <f t="shared" ca="1" si="86"/>
        <v>121</v>
      </c>
    </row>
    <row r="5545" spans="74:74" x14ac:dyDescent="0.3">
      <c r="BV5545" s="32">
        <f t="shared" ca="1" si="86"/>
        <v>121</v>
      </c>
    </row>
    <row r="5546" spans="74:74" x14ac:dyDescent="0.3">
      <c r="BV5546" s="32">
        <f t="shared" ca="1" si="86"/>
        <v>121</v>
      </c>
    </row>
    <row r="5547" spans="74:74" x14ac:dyDescent="0.3">
      <c r="BV5547" s="32">
        <f t="shared" ca="1" si="86"/>
        <v>121</v>
      </c>
    </row>
    <row r="5548" spans="74:74" x14ac:dyDescent="0.3">
      <c r="BV5548" s="32">
        <f t="shared" ca="1" si="86"/>
        <v>121</v>
      </c>
    </row>
    <row r="5549" spans="74:74" x14ac:dyDescent="0.3">
      <c r="BV5549" s="32">
        <f t="shared" ca="1" si="86"/>
        <v>121</v>
      </c>
    </row>
    <row r="5550" spans="74:74" x14ac:dyDescent="0.3">
      <c r="BV5550" s="32">
        <f t="shared" ca="1" si="86"/>
        <v>121</v>
      </c>
    </row>
    <row r="5551" spans="74:74" x14ac:dyDescent="0.3">
      <c r="BV5551" s="32">
        <f t="shared" ca="1" si="86"/>
        <v>121</v>
      </c>
    </row>
    <row r="5552" spans="74:74" x14ac:dyDescent="0.3">
      <c r="BV5552" s="32">
        <f t="shared" ca="1" si="86"/>
        <v>121</v>
      </c>
    </row>
    <row r="5553" spans="74:74" x14ac:dyDescent="0.3">
      <c r="BV5553" s="32">
        <f t="shared" ca="1" si="86"/>
        <v>121</v>
      </c>
    </row>
    <row r="5554" spans="74:74" x14ac:dyDescent="0.3">
      <c r="BV5554" s="32">
        <f t="shared" ca="1" si="86"/>
        <v>121</v>
      </c>
    </row>
    <row r="5555" spans="74:74" x14ac:dyDescent="0.3">
      <c r="BV5555" s="32">
        <f t="shared" ca="1" si="86"/>
        <v>121</v>
      </c>
    </row>
    <row r="5556" spans="74:74" x14ac:dyDescent="0.3">
      <c r="BV5556" s="32">
        <f t="shared" ca="1" si="86"/>
        <v>121</v>
      </c>
    </row>
    <row r="5557" spans="74:74" x14ac:dyDescent="0.3">
      <c r="BV5557" s="32">
        <f t="shared" ca="1" si="86"/>
        <v>121</v>
      </c>
    </row>
    <row r="5558" spans="74:74" x14ac:dyDescent="0.3">
      <c r="BV5558" s="32">
        <f t="shared" ca="1" si="86"/>
        <v>121</v>
      </c>
    </row>
    <row r="5559" spans="74:74" x14ac:dyDescent="0.3">
      <c r="BV5559" s="32">
        <f t="shared" ca="1" si="86"/>
        <v>121</v>
      </c>
    </row>
    <row r="5560" spans="74:74" x14ac:dyDescent="0.3">
      <c r="BV5560" s="32">
        <f t="shared" ca="1" si="86"/>
        <v>121</v>
      </c>
    </row>
    <row r="5561" spans="74:74" x14ac:dyDescent="0.3">
      <c r="BV5561" s="32">
        <f t="shared" ca="1" si="86"/>
        <v>121</v>
      </c>
    </row>
    <row r="5562" spans="74:74" x14ac:dyDescent="0.3">
      <c r="BV5562" s="32">
        <f t="shared" ca="1" si="86"/>
        <v>121</v>
      </c>
    </row>
    <row r="5563" spans="74:74" x14ac:dyDescent="0.3">
      <c r="BV5563" s="32">
        <f t="shared" ca="1" si="86"/>
        <v>121</v>
      </c>
    </row>
    <row r="5564" spans="74:74" x14ac:dyDescent="0.3">
      <c r="BV5564" s="32">
        <f t="shared" ca="1" si="86"/>
        <v>121</v>
      </c>
    </row>
    <row r="5565" spans="74:74" x14ac:dyDescent="0.3">
      <c r="BV5565" s="32">
        <f t="shared" ca="1" si="86"/>
        <v>121</v>
      </c>
    </row>
    <row r="5566" spans="74:74" x14ac:dyDescent="0.3">
      <c r="BV5566" s="32">
        <f t="shared" ca="1" si="86"/>
        <v>121</v>
      </c>
    </row>
    <row r="5567" spans="74:74" x14ac:dyDescent="0.3">
      <c r="BV5567" s="32">
        <f t="shared" ca="1" si="86"/>
        <v>121</v>
      </c>
    </row>
    <row r="5568" spans="74:74" x14ac:dyDescent="0.3">
      <c r="BV5568" s="32">
        <f t="shared" ca="1" si="86"/>
        <v>121</v>
      </c>
    </row>
    <row r="5569" spans="74:74" x14ac:dyDescent="0.3">
      <c r="BV5569" s="32">
        <f t="shared" ca="1" si="86"/>
        <v>121</v>
      </c>
    </row>
    <row r="5570" spans="74:74" x14ac:dyDescent="0.3">
      <c r="BV5570" s="32">
        <f t="shared" ca="1" si="86"/>
        <v>121</v>
      </c>
    </row>
    <row r="5571" spans="74:74" x14ac:dyDescent="0.3">
      <c r="BV5571" s="32">
        <f t="shared" ca="1" si="86"/>
        <v>121</v>
      </c>
    </row>
    <row r="5572" spans="74:74" x14ac:dyDescent="0.3">
      <c r="BV5572" s="32">
        <f t="shared" ca="1" si="86"/>
        <v>121</v>
      </c>
    </row>
    <row r="5573" spans="74:74" x14ac:dyDescent="0.3">
      <c r="BV5573" s="32">
        <f t="shared" ca="1" si="86"/>
        <v>121</v>
      </c>
    </row>
    <row r="5574" spans="74:74" x14ac:dyDescent="0.3">
      <c r="BV5574" s="32">
        <f t="shared" ca="1" si="86"/>
        <v>121</v>
      </c>
    </row>
    <row r="5575" spans="74:74" x14ac:dyDescent="0.3">
      <c r="BV5575" s="32">
        <f t="shared" ca="1" si="86"/>
        <v>121</v>
      </c>
    </row>
    <row r="5576" spans="74:74" x14ac:dyDescent="0.3">
      <c r="BV5576" s="32">
        <f t="shared" ca="1" si="86"/>
        <v>121</v>
      </c>
    </row>
    <row r="5577" spans="74:74" x14ac:dyDescent="0.3">
      <c r="BV5577" s="32">
        <f t="shared" ca="1" si="86"/>
        <v>121</v>
      </c>
    </row>
    <row r="5578" spans="74:74" x14ac:dyDescent="0.3">
      <c r="BV5578" s="32">
        <f t="shared" ca="1" si="86"/>
        <v>121</v>
      </c>
    </row>
    <row r="5579" spans="74:74" x14ac:dyDescent="0.3">
      <c r="BV5579" s="32">
        <f t="shared" ca="1" si="86"/>
        <v>121</v>
      </c>
    </row>
    <row r="5580" spans="74:74" x14ac:dyDescent="0.3">
      <c r="BV5580" s="32">
        <f t="shared" ca="1" si="86"/>
        <v>121</v>
      </c>
    </row>
    <row r="5581" spans="74:74" x14ac:dyDescent="0.3">
      <c r="BV5581" s="32">
        <f t="shared" ref="BV5581:BV5644" ca="1" si="87">INT((TODAY()-$I5581)/365)</f>
        <v>121</v>
      </c>
    </row>
    <row r="5582" spans="74:74" x14ac:dyDescent="0.3">
      <c r="BV5582" s="32">
        <f t="shared" ca="1" si="87"/>
        <v>121</v>
      </c>
    </row>
    <row r="5583" spans="74:74" x14ac:dyDescent="0.3">
      <c r="BV5583" s="32">
        <f t="shared" ca="1" si="87"/>
        <v>121</v>
      </c>
    </row>
    <row r="5584" spans="74:74" x14ac:dyDescent="0.3">
      <c r="BV5584" s="32">
        <f t="shared" ca="1" si="87"/>
        <v>121</v>
      </c>
    </row>
    <row r="5585" spans="74:74" x14ac:dyDescent="0.3">
      <c r="BV5585" s="32">
        <f t="shared" ca="1" si="87"/>
        <v>121</v>
      </c>
    </row>
    <row r="5586" spans="74:74" x14ac:dyDescent="0.3">
      <c r="BV5586" s="32">
        <f t="shared" ca="1" si="87"/>
        <v>121</v>
      </c>
    </row>
    <row r="5587" spans="74:74" x14ac:dyDescent="0.3">
      <c r="BV5587" s="32">
        <f t="shared" ca="1" si="87"/>
        <v>121</v>
      </c>
    </row>
    <row r="5588" spans="74:74" x14ac:dyDescent="0.3">
      <c r="BV5588" s="32">
        <f t="shared" ca="1" si="87"/>
        <v>121</v>
      </c>
    </row>
    <row r="5589" spans="74:74" x14ac:dyDescent="0.3">
      <c r="BV5589" s="32">
        <f t="shared" ca="1" si="87"/>
        <v>121</v>
      </c>
    </row>
    <row r="5590" spans="74:74" x14ac:dyDescent="0.3">
      <c r="BV5590" s="32">
        <f t="shared" ca="1" si="87"/>
        <v>121</v>
      </c>
    </row>
    <row r="5591" spans="74:74" x14ac:dyDescent="0.3">
      <c r="BV5591" s="32">
        <f t="shared" ca="1" si="87"/>
        <v>121</v>
      </c>
    </row>
    <row r="5592" spans="74:74" x14ac:dyDescent="0.3">
      <c r="BV5592" s="32">
        <f t="shared" ca="1" si="87"/>
        <v>121</v>
      </c>
    </row>
    <row r="5593" spans="74:74" x14ac:dyDescent="0.3">
      <c r="BV5593" s="32">
        <f t="shared" ca="1" si="87"/>
        <v>121</v>
      </c>
    </row>
    <row r="5594" spans="74:74" x14ac:dyDescent="0.3">
      <c r="BV5594" s="32">
        <f t="shared" ca="1" si="87"/>
        <v>121</v>
      </c>
    </row>
    <row r="5595" spans="74:74" x14ac:dyDescent="0.3">
      <c r="BV5595" s="32">
        <f t="shared" ca="1" si="87"/>
        <v>121</v>
      </c>
    </row>
    <row r="5596" spans="74:74" x14ac:dyDescent="0.3">
      <c r="BV5596" s="32">
        <f t="shared" ca="1" si="87"/>
        <v>121</v>
      </c>
    </row>
    <row r="5597" spans="74:74" x14ac:dyDescent="0.3">
      <c r="BV5597" s="32">
        <f t="shared" ca="1" si="87"/>
        <v>121</v>
      </c>
    </row>
    <row r="5598" spans="74:74" x14ac:dyDescent="0.3">
      <c r="BV5598" s="32">
        <f t="shared" ca="1" si="87"/>
        <v>121</v>
      </c>
    </row>
    <row r="5599" spans="74:74" x14ac:dyDescent="0.3">
      <c r="BV5599" s="32">
        <f t="shared" ca="1" si="87"/>
        <v>121</v>
      </c>
    </row>
    <row r="5600" spans="74:74" x14ac:dyDescent="0.3">
      <c r="BV5600" s="32">
        <f t="shared" ca="1" si="87"/>
        <v>121</v>
      </c>
    </row>
    <row r="5601" spans="74:74" x14ac:dyDescent="0.3">
      <c r="BV5601" s="32">
        <f t="shared" ca="1" si="87"/>
        <v>121</v>
      </c>
    </row>
    <row r="5602" spans="74:74" x14ac:dyDescent="0.3">
      <c r="BV5602" s="32">
        <f t="shared" ca="1" si="87"/>
        <v>121</v>
      </c>
    </row>
    <row r="5603" spans="74:74" x14ac:dyDescent="0.3">
      <c r="BV5603" s="32">
        <f t="shared" ca="1" si="87"/>
        <v>121</v>
      </c>
    </row>
    <row r="5604" spans="74:74" x14ac:dyDescent="0.3">
      <c r="BV5604" s="32">
        <f t="shared" ca="1" si="87"/>
        <v>121</v>
      </c>
    </row>
    <row r="5605" spans="74:74" x14ac:dyDescent="0.3">
      <c r="BV5605" s="32">
        <f t="shared" ca="1" si="87"/>
        <v>121</v>
      </c>
    </row>
    <row r="5606" spans="74:74" x14ac:dyDescent="0.3">
      <c r="BV5606" s="32">
        <f t="shared" ca="1" si="87"/>
        <v>121</v>
      </c>
    </row>
    <row r="5607" spans="74:74" x14ac:dyDescent="0.3">
      <c r="BV5607" s="32">
        <f t="shared" ca="1" si="87"/>
        <v>121</v>
      </c>
    </row>
    <row r="5608" spans="74:74" x14ac:dyDescent="0.3">
      <c r="BV5608" s="32">
        <f t="shared" ca="1" si="87"/>
        <v>121</v>
      </c>
    </row>
    <row r="5609" spans="74:74" x14ac:dyDescent="0.3">
      <c r="BV5609" s="32">
        <f t="shared" ca="1" si="87"/>
        <v>121</v>
      </c>
    </row>
    <row r="5610" spans="74:74" x14ac:dyDescent="0.3">
      <c r="BV5610" s="32">
        <f t="shared" ca="1" si="87"/>
        <v>121</v>
      </c>
    </row>
    <row r="5611" spans="74:74" x14ac:dyDescent="0.3">
      <c r="BV5611" s="32">
        <f t="shared" ca="1" si="87"/>
        <v>121</v>
      </c>
    </row>
    <row r="5612" spans="74:74" x14ac:dyDescent="0.3">
      <c r="BV5612" s="32">
        <f t="shared" ca="1" si="87"/>
        <v>121</v>
      </c>
    </row>
    <row r="5613" spans="74:74" x14ac:dyDescent="0.3">
      <c r="BV5613" s="32">
        <f t="shared" ca="1" si="87"/>
        <v>121</v>
      </c>
    </row>
    <row r="5614" spans="74:74" x14ac:dyDescent="0.3">
      <c r="BV5614" s="32">
        <f t="shared" ca="1" si="87"/>
        <v>121</v>
      </c>
    </row>
    <row r="5615" spans="74:74" x14ac:dyDescent="0.3">
      <c r="BV5615" s="32">
        <f t="shared" ca="1" si="87"/>
        <v>121</v>
      </c>
    </row>
    <row r="5616" spans="74:74" x14ac:dyDescent="0.3">
      <c r="BV5616" s="32">
        <f t="shared" ca="1" si="87"/>
        <v>121</v>
      </c>
    </row>
    <row r="5617" spans="74:74" x14ac:dyDescent="0.3">
      <c r="BV5617" s="32">
        <f t="shared" ca="1" si="87"/>
        <v>121</v>
      </c>
    </row>
    <row r="5618" spans="74:74" x14ac:dyDescent="0.3">
      <c r="BV5618" s="32">
        <f t="shared" ca="1" si="87"/>
        <v>121</v>
      </c>
    </row>
    <row r="5619" spans="74:74" x14ac:dyDescent="0.3">
      <c r="BV5619" s="32">
        <f t="shared" ca="1" si="87"/>
        <v>121</v>
      </c>
    </row>
    <row r="5620" spans="74:74" x14ac:dyDescent="0.3">
      <c r="BV5620" s="32">
        <f t="shared" ca="1" si="87"/>
        <v>121</v>
      </c>
    </row>
    <row r="5621" spans="74:74" x14ac:dyDescent="0.3">
      <c r="BV5621" s="32">
        <f t="shared" ca="1" si="87"/>
        <v>121</v>
      </c>
    </row>
    <row r="5622" spans="74:74" x14ac:dyDescent="0.3">
      <c r="BV5622" s="32">
        <f t="shared" ca="1" si="87"/>
        <v>121</v>
      </c>
    </row>
    <row r="5623" spans="74:74" x14ac:dyDescent="0.3">
      <c r="BV5623" s="32">
        <f t="shared" ca="1" si="87"/>
        <v>121</v>
      </c>
    </row>
    <row r="5624" spans="74:74" x14ac:dyDescent="0.3">
      <c r="BV5624" s="32">
        <f t="shared" ca="1" si="87"/>
        <v>121</v>
      </c>
    </row>
    <row r="5625" spans="74:74" x14ac:dyDescent="0.3">
      <c r="BV5625" s="32">
        <f t="shared" ca="1" si="87"/>
        <v>121</v>
      </c>
    </row>
    <row r="5626" spans="74:74" x14ac:dyDescent="0.3">
      <c r="BV5626" s="32">
        <f t="shared" ca="1" si="87"/>
        <v>121</v>
      </c>
    </row>
    <row r="5627" spans="74:74" x14ac:dyDescent="0.3">
      <c r="BV5627" s="32">
        <f t="shared" ca="1" si="87"/>
        <v>121</v>
      </c>
    </row>
    <row r="5628" spans="74:74" x14ac:dyDescent="0.3">
      <c r="BV5628" s="32">
        <f t="shared" ca="1" si="87"/>
        <v>121</v>
      </c>
    </row>
    <row r="5629" spans="74:74" x14ac:dyDescent="0.3">
      <c r="BV5629" s="32">
        <f t="shared" ca="1" si="87"/>
        <v>121</v>
      </c>
    </row>
    <row r="5630" spans="74:74" x14ac:dyDescent="0.3">
      <c r="BV5630" s="32">
        <f t="shared" ca="1" si="87"/>
        <v>121</v>
      </c>
    </row>
    <row r="5631" spans="74:74" x14ac:dyDescent="0.3">
      <c r="BV5631" s="32">
        <f t="shared" ca="1" si="87"/>
        <v>121</v>
      </c>
    </row>
    <row r="5632" spans="74:74" x14ac:dyDescent="0.3">
      <c r="BV5632" s="32">
        <f t="shared" ca="1" si="87"/>
        <v>121</v>
      </c>
    </row>
    <row r="5633" spans="74:74" x14ac:dyDescent="0.3">
      <c r="BV5633" s="32">
        <f t="shared" ca="1" si="87"/>
        <v>121</v>
      </c>
    </row>
    <row r="5634" spans="74:74" x14ac:dyDescent="0.3">
      <c r="BV5634" s="32">
        <f t="shared" ca="1" si="87"/>
        <v>121</v>
      </c>
    </row>
    <row r="5635" spans="74:74" x14ac:dyDescent="0.3">
      <c r="BV5635" s="32">
        <f t="shared" ca="1" si="87"/>
        <v>121</v>
      </c>
    </row>
    <row r="5636" spans="74:74" x14ac:dyDescent="0.3">
      <c r="BV5636" s="32">
        <f t="shared" ca="1" si="87"/>
        <v>121</v>
      </c>
    </row>
    <row r="5637" spans="74:74" x14ac:dyDescent="0.3">
      <c r="BV5637" s="32">
        <f t="shared" ca="1" si="87"/>
        <v>121</v>
      </c>
    </row>
    <row r="5638" spans="74:74" x14ac:dyDescent="0.3">
      <c r="BV5638" s="32">
        <f t="shared" ca="1" si="87"/>
        <v>121</v>
      </c>
    </row>
    <row r="5639" spans="74:74" x14ac:dyDescent="0.3">
      <c r="BV5639" s="32">
        <f t="shared" ca="1" si="87"/>
        <v>121</v>
      </c>
    </row>
    <row r="5640" spans="74:74" x14ac:dyDescent="0.3">
      <c r="BV5640" s="32">
        <f t="shared" ca="1" si="87"/>
        <v>121</v>
      </c>
    </row>
    <row r="5641" spans="74:74" x14ac:dyDescent="0.3">
      <c r="BV5641" s="32">
        <f t="shared" ca="1" si="87"/>
        <v>121</v>
      </c>
    </row>
    <row r="5642" spans="74:74" x14ac:dyDescent="0.3">
      <c r="BV5642" s="32">
        <f t="shared" ca="1" si="87"/>
        <v>121</v>
      </c>
    </row>
    <row r="5643" spans="74:74" x14ac:dyDescent="0.3">
      <c r="BV5643" s="32">
        <f t="shared" ca="1" si="87"/>
        <v>121</v>
      </c>
    </row>
    <row r="5644" spans="74:74" x14ac:dyDescent="0.3">
      <c r="BV5644" s="32">
        <f t="shared" ca="1" si="87"/>
        <v>121</v>
      </c>
    </row>
    <row r="5645" spans="74:74" x14ac:dyDescent="0.3">
      <c r="BV5645" s="32">
        <f t="shared" ref="BV5645:BV5708" ca="1" si="88">INT((TODAY()-$I5645)/365)</f>
        <v>121</v>
      </c>
    </row>
    <row r="5646" spans="74:74" x14ac:dyDescent="0.3">
      <c r="BV5646" s="32">
        <f t="shared" ca="1" si="88"/>
        <v>121</v>
      </c>
    </row>
    <row r="5647" spans="74:74" x14ac:dyDescent="0.3">
      <c r="BV5647" s="32">
        <f t="shared" ca="1" si="88"/>
        <v>121</v>
      </c>
    </row>
    <row r="5648" spans="74:74" x14ac:dyDescent="0.3">
      <c r="BV5648" s="32">
        <f t="shared" ca="1" si="88"/>
        <v>121</v>
      </c>
    </row>
    <row r="5649" spans="74:74" x14ac:dyDescent="0.3">
      <c r="BV5649" s="32">
        <f t="shared" ca="1" si="88"/>
        <v>121</v>
      </c>
    </row>
    <row r="5650" spans="74:74" x14ac:dyDescent="0.3">
      <c r="BV5650" s="32">
        <f t="shared" ca="1" si="88"/>
        <v>121</v>
      </c>
    </row>
    <row r="5651" spans="74:74" x14ac:dyDescent="0.3">
      <c r="BV5651" s="32">
        <f t="shared" ca="1" si="88"/>
        <v>121</v>
      </c>
    </row>
    <row r="5652" spans="74:74" x14ac:dyDescent="0.3">
      <c r="BV5652" s="32">
        <f t="shared" ca="1" si="88"/>
        <v>121</v>
      </c>
    </row>
    <row r="5653" spans="74:74" x14ac:dyDescent="0.3">
      <c r="BV5653" s="32">
        <f t="shared" ca="1" si="88"/>
        <v>121</v>
      </c>
    </row>
    <row r="5654" spans="74:74" x14ac:dyDescent="0.3">
      <c r="BV5654" s="32">
        <f t="shared" ca="1" si="88"/>
        <v>121</v>
      </c>
    </row>
    <row r="5655" spans="74:74" x14ac:dyDescent="0.3">
      <c r="BV5655" s="32">
        <f t="shared" ca="1" si="88"/>
        <v>121</v>
      </c>
    </row>
    <row r="5656" spans="74:74" x14ac:dyDescent="0.3">
      <c r="BV5656" s="32">
        <f t="shared" ca="1" si="88"/>
        <v>121</v>
      </c>
    </row>
    <row r="5657" spans="74:74" x14ac:dyDescent="0.3">
      <c r="BV5657" s="32">
        <f t="shared" ca="1" si="88"/>
        <v>121</v>
      </c>
    </row>
    <row r="5658" spans="74:74" x14ac:dyDescent="0.3">
      <c r="BV5658" s="32">
        <f t="shared" ca="1" si="88"/>
        <v>121</v>
      </c>
    </row>
    <row r="5659" spans="74:74" x14ac:dyDescent="0.3">
      <c r="BV5659" s="32">
        <f t="shared" ca="1" si="88"/>
        <v>121</v>
      </c>
    </row>
    <row r="5660" spans="74:74" x14ac:dyDescent="0.3">
      <c r="BV5660" s="32">
        <f t="shared" ca="1" si="88"/>
        <v>121</v>
      </c>
    </row>
    <row r="5661" spans="74:74" x14ac:dyDescent="0.3">
      <c r="BV5661" s="32">
        <f t="shared" ca="1" si="88"/>
        <v>121</v>
      </c>
    </row>
    <row r="5662" spans="74:74" x14ac:dyDescent="0.3">
      <c r="BV5662" s="32">
        <f t="shared" ca="1" si="88"/>
        <v>121</v>
      </c>
    </row>
    <row r="5663" spans="74:74" x14ac:dyDescent="0.3">
      <c r="BV5663" s="32">
        <f t="shared" ca="1" si="88"/>
        <v>121</v>
      </c>
    </row>
    <row r="5664" spans="74:74" x14ac:dyDescent="0.3">
      <c r="BV5664" s="32">
        <f t="shared" ca="1" si="88"/>
        <v>121</v>
      </c>
    </row>
    <row r="5665" spans="74:74" x14ac:dyDescent="0.3">
      <c r="BV5665" s="32">
        <f t="shared" ca="1" si="88"/>
        <v>121</v>
      </c>
    </row>
    <row r="5666" spans="74:74" x14ac:dyDescent="0.3">
      <c r="BV5666" s="32">
        <f t="shared" ca="1" si="88"/>
        <v>121</v>
      </c>
    </row>
    <row r="5667" spans="74:74" x14ac:dyDescent="0.3">
      <c r="BV5667" s="32">
        <f t="shared" ca="1" si="88"/>
        <v>121</v>
      </c>
    </row>
    <row r="5668" spans="74:74" x14ac:dyDescent="0.3">
      <c r="BV5668" s="32">
        <f t="shared" ca="1" si="88"/>
        <v>121</v>
      </c>
    </row>
    <row r="5669" spans="74:74" x14ac:dyDescent="0.3">
      <c r="BV5669" s="32">
        <f t="shared" ca="1" si="88"/>
        <v>121</v>
      </c>
    </row>
    <row r="5670" spans="74:74" x14ac:dyDescent="0.3">
      <c r="BV5670" s="32">
        <f t="shared" ca="1" si="88"/>
        <v>121</v>
      </c>
    </row>
    <row r="5671" spans="74:74" x14ac:dyDescent="0.3">
      <c r="BV5671" s="32">
        <f t="shared" ca="1" si="88"/>
        <v>121</v>
      </c>
    </row>
    <row r="5672" spans="74:74" x14ac:dyDescent="0.3">
      <c r="BV5672" s="32">
        <f t="shared" ca="1" si="88"/>
        <v>121</v>
      </c>
    </row>
    <row r="5673" spans="74:74" x14ac:dyDescent="0.3">
      <c r="BV5673" s="32">
        <f t="shared" ca="1" si="88"/>
        <v>121</v>
      </c>
    </row>
    <row r="5674" spans="74:74" x14ac:dyDescent="0.3">
      <c r="BV5674" s="32">
        <f t="shared" ca="1" si="88"/>
        <v>121</v>
      </c>
    </row>
    <row r="5675" spans="74:74" x14ac:dyDescent="0.3">
      <c r="BV5675" s="32">
        <f t="shared" ca="1" si="88"/>
        <v>121</v>
      </c>
    </row>
    <row r="5676" spans="74:74" x14ac:dyDescent="0.3">
      <c r="BV5676" s="32">
        <f t="shared" ca="1" si="88"/>
        <v>121</v>
      </c>
    </row>
    <row r="5677" spans="74:74" x14ac:dyDescent="0.3">
      <c r="BV5677" s="32">
        <f t="shared" ca="1" si="88"/>
        <v>121</v>
      </c>
    </row>
    <row r="5678" spans="74:74" x14ac:dyDescent="0.3">
      <c r="BV5678" s="32">
        <f t="shared" ca="1" si="88"/>
        <v>121</v>
      </c>
    </row>
    <row r="5679" spans="74:74" x14ac:dyDescent="0.3">
      <c r="BV5679" s="32">
        <f t="shared" ca="1" si="88"/>
        <v>121</v>
      </c>
    </row>
    <row r="5680" spans="74:74" x14ac:dyDescent="0.3">
      <c r="BV5680" s="32">
        <f t="shared" ca="1" si="88"/>
        <v>121</v>
      </c>
    </row>
    <row r="5681" spans="74:74" x14ac:dyDescent="0.3">
      <c r="BV5681" s="32">
        <f t="shared" ca="1" si="88"/>
        <v>121</v>
      </c>
    </row>
    <row r="5682" spans="74:74" x14ac:dyDescent="0.3">
      <c r="BV5682" s="32">
        <f t="shared" ca="1" si="88"/>
        <v>121</v>
      </c>
    </row>
    <row r="5683" spans="74:74" x14ac:dyDescent="0.3">
      <c r="BV5683" s="32">
        <f t="shared" ca="1" si="88"/>
        <v>121</v>
      </c>
    </row>
    <row r="5684" spans="74:74" x14ac:dyDescent="0.3">
      <c r="BV5684" s="32">
        <f t="shared" ca="1" si="88"/>
        <v>121</v>
      </c>
    </row>
    <row r="5685" spans="74:74" x14ac:dyDescent="0.3">
      <c r="BV5685" s="32">
        <f t="shared" ca="1" si="88"/>
        <v>121</v>
      </c>
    </row>
    <row r="5686" spans="74:74" x14ac:dyDescent="0.3">
      <c r="BV5686" s="32">
        <f t="shared" ca="1" si="88"/>
        <v>121</v>
      </c>
    </row>
    <row r="5687" spans="74:74" x14ac:dyDescent="0.3">
      <c r="BV5687" s="32">
        <f t="shared" ca="1" si="88"/>
        <v>121</v>
      </c>
    </row>
    <row r="5688" spans="74:74" x14ac:dyDescent="0.3">
      <c r="BV5688" s="32">
        <f t="shared" ca="1" si="88"/>
        <v>121</v>
      </c>
    </row>
    <row r="5689" spans="74:74" x14ac:dyDescent="0.3">
      <c r="BV5689" s="32">
        <f t="shared" ca="1" si="88"/>
        <v>121</v>
      </c>
    </row>
    <row r="5690" spans="74:74" x14ac:dyDescent="0.3">
      <c r="BV5690" s="32">
        <f t="shared" ca="1" si="88"/>
        <v>121</v>
      </c>
    </row>
    <row r="5691" spans="74:74" x14ac:dyDescent="0.3">
      <c r="BV5691" s="32">
        <f t="shared" ca="1" si="88"/>
        <v>121</v>
      </c>
    </row>
    <row r="5692" spans="74:74" x14ac:dyDescent="0.3">
      <c r="BV5692" s="32">
        <f t="shared" ca="1" si="88"/>
        <v>121</v>
      </c>
    </row>
    <row r="5693" spans="74:74" x14ac:dyDescent="0.3">
      <c r="BV5693" s="32">
        <f t="shared" ca="1" si="88"/>
        <v>121</v>
      </c>
    </row>
    <row r="5694" spans="74:74" x14ac:dyDescent="0.3">
      <c r="BV5694" s="32">
        <f t="shared" ca="1" si="88"/>
        <v>121</v>
      </c>
    </row>
    <row r="5695" spans="74:74" x14ac:dyDescent="0.3">
      <c r="BV5695" s="32">
        <f t="shared" ca="1" si="88"/>
        <v>121</v>
      </c>
    </row>
    <row r="5696" spans="74:74" x14ac:dyDescent="0.3">
      <c r="BV5696" s="32">
        <f t="shared" ca="1" si="88"/>
        <v>121</v>
      </c>
    </row>
    <row r="5697" spans="74:74" x14ac:dyDescent="0.3">
      <c r="BV5697" s="32">
        <f t="shared" ca="1" si="88"/>
        <v>121</v>
      </c>
    </row>
    <row r="5698" spans="74:74" x14ac:dyDescent="0.3">
      <c r="BV5698" s="32">
        <f t="shared" ca="1" si="88"/>
        <v>121</v>
      </c>
    </row>
    <row r="5699" spans="74:74" x14ac:dyDescent="0.3">
      <c r="BV5699" s="32">
        <f t="shared" ca="1" si="88"/>
        <v>121</v>
      </c>
    </row>
    <row r="5700" spans="74:74" x14ac:dyDescent="0.3">
      <c r="BV5700" s="32">
        <f t="shared" ca="1" si="88"/>
        <v>121</v>
      </c>
    </row>
    <row r="5701" spans="74:74" x14ac:dyDescent="0.3">
      <c r="BV5701" s="32">
        <f t="shared" ca="1" si="88"/>
        <v>121</v>
      </c>
    </row>
    <row r="5702" spans="74:74" x14ac:dyDescent="0.3">
      <c r="BV5702" s="32">
        <f t="shared" ca="1" si="88"/>
        <v>121</v>
      </c>
    </row>
    <row r="5703" spans="74:74" x14ac:dyDescent="0.3">
      <c r="BV5703" s="32">
        <f t="shared" ca="1" si="88"/>
        <v>121</v>
      </c>
    </row>
    <row r="5704" spans="74:74" x14ac:dyDescent="0.3">
      <c r="BV5704" s="32">
        <f t="shared" ca="1" si="88"/>
        <v>121</v>
      </c>
    </row>
    <row r="5705" spans="74:74" x14ac:dyDescent="0.3">
      <c r="BV5705" s="32">
        <f t="shared" ca="1" si="88"/>
        <v>121</v>
      </c>
    </row>
    <row r="5706" spans="74:74" x14ac:dyDescent="0.3">
      <c r="BV5706" s="32">
        <f t="shared" ca="1" si="88"/>
        <v>121</v>
      </c>
    </row>
    <row r="5707" spans="74:74" x14ac:dyDescent="0.3">
      <c r="BV5707" s="32">
        <f t="shared" ca="1" si="88"/>
        <v>121</v>
      </c>
    </row>
    <row r="5708" spans="74:74" x14ac:dyDescent="0.3">
      <c r="BV5708" s="32">
        <f t="shared" ca="1" si="88"/>
        <v>121</v>
      </c>
    </row>
    <row r="5709" spans="74:74" x14ac:dyDescent="0.3">
      <c r="BV5709" s="32">
        <f t="shared" ref="BV5709:BV5772" ca="1" si="89">INT((TODAY()-$I5709)/365)</f>
        <v>121</v>
      </c>
    </row>
    <row r="5710" spans="74:74" x14ac:dyDescent="0.3">
      <c r="BV5710" s="32">
        <f t="shared" ca="1" si="89"/>
        <v>121</v>
      </c>
    </row>
    <row r="5711" spans="74:74" x14ac:dyDescent="0.3">
      <c r="BV5711" s="32">
        <f t="shared" ca="1" si="89"/>
        <v>121</v>
      </c>
    </row>
    <row r="5712" spans="74:74" x14ac:dyDescent="0.3">
      <c r="BV5712" s="32">
        <f t="shared" ca="1" si="89"/>
        <v>121</v>
      </c>
    </row>
    <row r="5713" spans="74:74" x14ac:dyDescent="0.3">
      <c r="BV5713" s="32">
        <f t="shared" ca="1" si="89"/>
        <v>121</v>
      </c>
    </row>
    <row r="5714" spans="74:74" x14ac:dyDescent="0.3">
      <c r="BV5714" s="32">
        <f t="shared" ca="1" si="89"/>
        <v>121</v>
      </c>
    </row>
    <row r="5715" spans="74:74" x14ac:dyDescent="0.3">
      <c r="BV5715" s="32">
        <f t="shared" ca="1" si="89"/>
        <v>121</v>
      </c>
    </row>
    <row r="5716" spans="74:74" x14ac:dyDescent="0.3">
      <c r="BV5716" s="32">
        <f t="shared" ca="1" si="89"/>
        <v>121</v>
      </c>
    </row>
    <row r="5717" spans="74:74" x14ac:dyDescent="0.3">
      <c r="BV5717" s="32">
        <f t="shared" ca="1" si="89"/>
        <v>121</v>
      </c>
    </row>
    <row r="5718" spans="74:74" x14ac:dyDescent="0.3">
      <c r="BV5718" s="32">
        <f t="shared" ca="1" si="89"/>
        <v>121</v>
      </c>
    </row>
    <row r="5719" spans="74:74" x14ac:dyDescent="0.3">
      <c r="BV5719" s="32">
        <f t="shared" ca="1" si="89"/>
        <v>121</v>
      </c>
    </row>
    <row r="5720" spans="74:74" x14ac:dyDescent="0.3">
      <c r="BV5720" s="32">
        <f t="shared" ca="1" si="89"/>
        <v>121</v>
      </c>
    </row>
    <row r="5721" spans="74:74" x14ac:dyDescent="0.3">
      <c r="BV5721" s="32">
        <f t="shared" ca="1" si="89"/>
        <v>121</v>
      </c>
    </row>
    <row r="5722" spans="74:74" x14ac:dyDescent="0.3">
      <c r="BV5722" s="32">
        <f t="shared" ca="1" si="89"/>
        <v>121</v>
      </c>
    </row>
    <row r="5723" spans="74:74" x14ac:dyDescent="0.3">
      <c r="BV5723" s="32">
        <f t="shared" ca="1" si="89"/>
        <v>121</v>
      </c>
    </row>
    <row r="5724" spans="74:74" x14ac:dyDescent="0.3">
      <c r="BV5724" s="32">
        <f t="shared" ca="1" si="89"/>
        <v>121</v>
      </c>
    </row>
    <row r="5725" spans="74:74" x14ac:dyDescent="0.3">
      <c r="BV5725" s="32">
        <f t="shared" ca="1" si="89"/>
        <v>121</v>
      </c>
    </row>
    <row r="5726" spans="74:74" x14ac:dyDescent="0.3">
      <c r="BV5726" s="32">
        <f t="shared" ca="1" si="89"/>
        <v>121</v>
      </c>
    </row>
    <row r="5727" spans="74:74" x14ac:dyDescent="0.3">
      <c r="BV5727" s="32">
        <f t="shared" ca="1" si="89"/>
        <v>121</v>
      </c>
    </row>
    <row r="5728" spans="74:74" x14ac:dyDescent="0.3">
      <c r="BV5728" s="32">
        <f t="shared" ca="1" si="89"/>
        <v>121</v>
      </c>
    </row>
    <row r="5729" spans="74:74" x14ac:dyDescent="0.3">
      <c r="BV5729" s="32">
        <f t="shared" ca="1" si="89"/>
        <v>121</v>
      </c>
    </row>
    <row r="5730" spans="74:74" x14ac:dyDescent="0.3">
      <c r="BV5730" s="32">
        <f t="shared" ca="1" si="89"/>
        <v>121</v>
      </c>
    </row>
    <row r="5731" spans="74:74" x14ac:dyDescent="0.3">
      <c r="BV5731" s="32">
        <f t="shared" ca="1" si="89"/>
        <v>121</v>
      </c>
    </row>
    <row r="5732" spans="74:74" x14ac:dyDescent="0.3">
      <c r="BV5732" s="32">
        <f t="shared" ca="1" si="89"/>
        <v>121</v>
      </c>
    </row>
    <row r="5733" spans="74:74" x14ac:dyDescent="0.3">
      <c r="BV5733" s="32">
        <f t="shared" ca="1" si="89"/>
        <v>121</v>
      </c>
    </row>
    <row r="5734" spans="74:74" x14ac:dyDescent="0.3">
      <c r="BV5734" s="32">
        <f t="shared" ca="1" si="89"/>
        <v>121</v>
      </c>
    </row>
    <row r="5735" spans="74:74" x14ac:dyDescent="0.3">
      <c r="BV5735" s="32">
        <f t="shared" ca="1" si="89"/>
        <v>121</v>
      </c>
    </row>
    <row r="5736" spans="74:74" x14ac:dyDescent="0.3">
      <c r="BV5736" s="32">
        <f t="shared" ca="1" si="89"/>
        <v>121</v>
      </c>
    </row>
    <row r="5737" spans="74:74" x14ac:dyDescent="0.3">
      <c r="BV5737" s="32">
        <f t="shared" ca="1" si="89"/>
        <v>121</v>
      </c>
    </row>
    <row r="5738" spans="74:74" x14ac:dyDescent="0.3">
      <c r="BV5738" s="32">
        <f t="shared" ca="1" si="89"/>
        <v>121</v>
      </c>
    </row>
    <row r="5739" spans="74:74" x14ac:dyDescent="0.3">
      <c r="BV5739" s="32">
        <f t="shared" ca="1" si="89"/>
        <v>121</v>
      </c>
    </row>
    <row r="5740" spans="74:74" x14ac:dyDescent="0.3">
      <c r="BV5740" s="32">
        <f t="shared" ca="1" si="89"/>
        <v>121</v>
      </c>
    </row>
    <row r="5741" spans="74:74" x14ac:dyDescent="0.3">
      <c r="BV5741" s="32">
        <f t="shared" ca="1" si="89"/>
        <v>121</v>
      </c>
    </row>
    <row r="5742" spans="74:74" x14ac:dyDescent="0.3">
      <c r="BV5742" s="32">
        <f t="shared" ca="1" si="89"/>
        <v>121</v>
      </c>
    </row>
    <row r="5743" spans="74:74" x14ac:dyDescent="0.3">
      <c r="BV5743" s="32">
        <f t="shared" ca="1" si="89"/>
        <v>121</v>
      </c>
    </row>
    <row r="5744" spans="74:74" x14ac:dyDescent="0.3">
      <c r="BV5744" s="32">
        <f t="shared" ca="1" si="89"/>
        <v>121</v>
      </c>
    </row>
    <row r="5745" spans="74:74" x14ac:dyDescent="0.3">
      <c r="BV5745" s="32">
        <f t="shared" ca="1" si="89"/>
        <v>121</v>
      </c>
    </row>
    <row r="5746" spans="74:74" x14ac:dyDescent="0.3">
      <c r="BV5746" s="32">
        <f t="shared" ca="1" si="89"/>
        <v>121</v>
      </c>
    </row>
    <row r="5747" spans="74:74" x14ac:dyDescent="0.3">
      <c r="BV5747" s="32">
        <f t="shared" ca="1" si="89"/>
        <v>121</v>
      </c>
    </row>
    <row r="5748" spans="74:74" x14ac:dyDescent="0.3">
      <c r="BV5748" s="32">
        <f t="shared" ca="1" si="89"/>
        <v>121</v>
      </c>
    </row>
    <row r="5749" spans="74:74" x14ac:dyDescent="0.3">
      <c r="BV5749" s="32">
        <f t="shared" ca="1" si="89"/>
        <v>121</v>
      </c>
    </row>
    <row r="5750" spans="74:74" x14ac:dyDescent="0.3">
      <c r="BV5750" s="32">
        <f t="shared" ca="1" si="89"/>
        <v>121</v>
      </c>
    </row>
    <row r="5751" spans="74:74" x14ac:dyDescent="0.3">
      <c r="BV5751" s="32">
        <f t="shared" ca="1" si="89"/>
        <v>121</v>
      </c>
    </row>
    <row r="5752" spans="74:74" x14ac:dyDescent="0.3">
      <c r="BV5752" s="32">
        <f t="shared" ca="1" si="89"/>
        <v>121</v>
      </c>
    </row>
    <row r="5753" spans="74:74" x14ac:dyDescent="0.3">
      <c r="BV5753" s="32">
        <f t="shared" ca="1" si="89"/>
        <v>121</v>
      </c>
    </row>
    <row r="5754" spans="74:74" x14ac:dyDescent="0.3">
      <c r="BV5754" s="32">
        <f t="shared" ca="1" si="89"/>
        <v>121</v>
      </c>
    </row>
    <row r="5755" spans="74:74" x14ac:dyDescent="0.3">
      <c r="BV5755" s="32">
        <f t="shared" ca="1" si="89"/>
        <v>121</v>
      </c>
    </row>
    <row r="5756" spans="74:74" x14ac:dyDescent="0.3">
      <c r="BV5756" s="32">
        <f t="shared" ca="1" si="89"/>
        <v>121</v>
      </c>
    </row>
    <row r="5757" spans="74:74" x14ac:dyDescent="0.3">
      <c r="BV5757" s="32">
        <f t="shared" ca="1" si="89"/>
        <v>121</v>
      </c>
    </row>
    <row r="5758" spans="74:74" x14ac:dyDescent="0.3">
      <c r="BV5758" s="32">
        <f t="shared" ca="1" si="89"/>
        <v>121</v>
      </c>
    </row>
    <row r="5759" spans="74:74" x14ac:dyDescent="0.3">
      <c r="BV5759" s="32">
        <f t="shared" ca="1" si="89"/>
        <v>121</v>
      </c>
    </row>
    <row r="5760" spans="74:74" x14ac:dyDescent="0.3">
      <c r="BV5760" s="32">
        <f t="shared" ca="1" si="89"/>
        <v>121</v>
      </c>
    </row>
    <row r="5761" spans="74:74" x14ac:dyDescent="0.3">
      <c r="BV5761" s="32">
        <f t="shared" ca="1" si="89"/>
        <v>121</v>
      </c>
    </row>
    <row r="5762" spans="74:74" x14ac:dyDescent="0.3">
      <c r="BV5762" s="32">
        <f t="shared" ca="1" si="89"/>
        <v>121</v>
      </c>
    </row>
    <row r="5763" spans="74:74" x14ac:dyDescent="0.3">
      <c r="BV5763" s="32">
        <f t="shared" ca="1" si="89"/>
        <v>121</v>
      </c>
    </row>
    <row r="5764" spans="74:74" x14ac:dyDescent="0.3">
      <c r="BV5764" s="32">
        <f t="shared" ca="1" si="89"/>
        <v>121</v>
      </c>
    </row>
    <row r="5765" spans="74:74" x14ac:dyDescent="0.3">
      <c r="BV5765" s="32">
        <f t="shared" ca="1" si="89"/>
        <v>121</v>
      </c>
    </row>
    <row r="5766" spans="74:74" x14ac:dyDescent="0.3">
      <c r="BV5766" s="32">
        <f t="shared" ca="1" si="89"/>
        <v>121</v>
      </c>
    </row>
    <row r="5767" spans="74:74" x14ac:dyDescent="0.3">
      <c r="BV5767" s="32">
        <f t="shared" ca="1" si="89"/>
        <v>121</v>
      </c>
    </row>
    <row r="5768" spans="74:74" x14ac:dyDescent="0.3">
      <c r="BV5768" s="32">
        <f t="shared" ca="1" si="89"/>
        <v>121</v>
      </c>
    </row>
    <row r="5769" spans="74:74" x14ac:dyDescent="0.3">
      <c r="BV5769" s="32">
        <f t="shared" ca="1" si="89"/>
        <v>121</v>
      </c>
    </row>
    <row r="5770" spans="74:74" x14ac:dyDescent="0.3">
      <c r="BV5770" s="32">
        <f t="shared" ca="1" si="89"/>
        <v>121</v>
      </c>
    </row>
    <row r="5771" spans="74:74" x14ac:dyDescent="0.3">
      <c r="BV5771" s="32">
        <f t="shared" ca="1" si="89"/>
        <v>121</v>
      </c>
    </row>
    <row r="5772" spans="74:74" x14ac:dyDescent="0.3">
      <c r="BV5772" s="32">
        <f t="shared" ca="1" si="89"/>
        <v>121</v>
      </c>
    </row>
    <row r="5773" spans="74:74" x14ac:dyDescent="0.3">
      <c r="BV5773" s="32">
        <f t="shared" ref="BV5773:BV5836" ca="1" si="90">INT((TODAY()-$I5773)/365)</f>
        <v>121</v>
      </c>
    </row>
    <row r="5774" spans="74:74" x14ac:dyDescent="0.3">
      <c r="BV5774" s="32">
        <f t="shared" ca="1" si="90"/>
        <v>121</v>
      </c>
    </row>
    <row r="5775" spans="74:74" x14ac:dyDescent="0.3">
      <c r="BV5775" s="32">
        <f t="shared" ca="1" si="90"/>
        <v>121</v>
      </c>
    </row>
    <row r="5776" spans="74:74" x14ac:dyDescent="0.3">
      <c r="BV5776" s="32">
        <f t="shared" ca="1" si="90"/>
        <v>121</v>
      </c>
    </row>
    <row r="5777" spans="74:74" x14ac:dyDescent="0.3">
      <c r="BV5777" s="32">
        <f t="shared" ca="1" si="90"/>
        <v>121</v>
      </c>
    </row>
    <row r="5778" spans="74:74" x14ac:dyDescent="0.3">
      <c r="BV5778" s="32">
        <f t="shared" ca="1" si="90"/>
        <v>121</v>
      </c>
    </row>
    <row r="5779" spans="74:74" x14ac:dyDescent="0.3">
      <c r="BV5779" s="32">
        <f t="shared" ca="1" si="90"/>
        <v>121</v>
      </c>
    </row>
    <row r="5780" spans="74:74" x14ac:dyDescent="0.3">
      <c r="BV5780" s="32">
        <f t="shared" ca="1" si="90"/>
        <v>121</v>
      </c>
    </row>
    <row r="5781" spans="74:74" x14ac:dyDescent="0.3">
      <c r="BV5781" s="32">
        <f t="shared" ca="1" si="90"/>
        <v>121</v>
      </c>
    </row>
    <row r="5782" spans="74:74" x14ac:dyDescent="0.3">
      <c r="BV5782" s="32">
        <f t="shared" ca="1" si="90"/>
        <v>121</v>
      </c>
    </row>
    <row r="5783" spans="74:74" x14ac:dyDescent="0.3">
      <c r="BV5783" s="32">
        <f t="shared" ca="1" si="90"/>
        <v>121</v>
      </c>
    </row>
    <row r="5784" spans="74:74" x14ac:dyDescent="0.3">
      <c r="BV5784" s="32">
        <f t="shared" ca="1" si="90"/>
        <v>121</v>
      </c>
    </row>
    <row r="5785" spans="74:74" x14ac:dyDescent="0.3">
      <c r="BV5785" s="32">
        <f t="shared" ca="1" si="90"/>
        <v>121</v>
      </c>
    </row>
    <row r="5786" spans="74:74" x14ac:dyDescent="0.3">
      <c r="BV5786" s="32">
        <f t="shared" ca="1" si="90"/>
        <v>121</v>
      </c>
    </row>
    <row r="5787" spans="74:74" x14ac:dyDescent="0.3">
      <c r="BV5787" s="32">
        <f t="shared" ca="1" si="90"/>
        <v>121</v>
      </c>
    </row>
    <row r="5788" spans="74:74" x14ac:dyDescent="0.3">
      <c r="BV5788" s="32">
        <f t="shared" ca="1" si="90"/>
        <v>121</v>
      </c>
    </row>
    <row r="5789" spans="74:74" x14ac:dyDescent="0.3">
      <c r="BV5789" s="32">
        <f t="shared" ca="1" si="90"/>
        <v>121</v>
      </c>
    </row>
    <row r="5790" spans="74:74" x14ac:dyDescent="0.3">
      <c r="BV5790" s="32">
        <f t="shared" ca="1" si="90"/>
        <v>121</v>
      </c>
    </row>
    <row r="5791" spans="74:74" x14ac:dyDescent="0.3">
      <c r="BV5791" s="32">
        <f t="shared" ca="1" si="90"/>
        <v>121</v>
      </c>
    </row>
    <row r="5792" spans="74:74" x14ac:dyDescent="0.3">
      <c r="BV5792" s="32">
        <f t="shared" ca="1" si="90"/>
        <v>121</v>
      </c>
    </row>
    <row r="5793" spans="74:74" x14ac:dyDescent="0.3">
      <c r="BV5793" s="32">
        <f t="shared" ca="1" si="90"/>
        <v>121</v>
      </c>
    </row>
    <row r="5794" spans="74:74" x14ac:dyDescent="0.3">
      <c r="BV5794" s="32">
        <f t="shared" ca="1" si="90"/>
        <v>121</v>
      </c>
    </row>
    <row r="5795" spans="74:74" x14ac:dyDescent="0.3">
      <c r="BV5795" s="32">
        <f t="shared" ca="1" si="90"/>
        <v>121</v>
      </c>
    </row>
    <row r="5796" spans="74:74" x14ac:dyDescent="0.3">
      <c r="BV5796" s="32">
        <f t="shared" ca="1" si="90"/>
        <v>121</v>
      </c>
    </row>
    <row r="5797" spans="74:74" x14ac:dyDescent="0.3">
      <c r="BV5797" s="32">
        <f t="shared" ca="1" si="90"/>
        <v>121</v>
      </c>
    </row>
    <row r="5798" spans="74:74" x14ac:dyDescent="0.3">
      <c r="BV5798" s="32">
        <f t="shared" ca="1" si="90"/>
        <v>121</v>
      </c>
    </row>
    <row r="5799" spans="74:74" x14ac:dyDescent="0.3">
      <c r="BV5799" s="32">
        <f t="shared" ca="1" si="90"/>
        <v>121</v>
      </c>
    </row>
    <row r="5800" spans="74:74" x14ac:dyDescent="0.3">
      <c r="BV5800" s="32">
        <f t="shared" ca="1" si="90"/>
        <v>121</v>
      </c>
    </row>
    <row r="5801" spans="74:74" x14ac:dyDescent="0.3">
      <c r="BV5801" s="32">
        <f t="shared" ca="1" si="90"/>
        <v>121</v>
      </c>
    </row>
    <row r="5802" spans="74:74" x14ac:dyDescent="0.3">
      <c r="BV5802" s="32">
        <f t="shared" ca="1" si="90"/>
        <v>121</v>
      </c>
    </row>
    <row r="5803" spans="74:74" x14ac:dyDescent="0.3">
      <c r="BV5803" s="32">
        <f t="shared" ca="1" si="90"/>
        <v>121</v>
      </c>
    </row>
    <row r="5804" spans="74:74" x14ac:dyDescent="0.3">
      <c r="BV5804" s="32">
        <f t="shared" ca="1" si="90"/>
        <v>121</v>
      </c>
    </row>
    <row r="5805" spans="74:74" x14ac:dyDescent="0.3">
      <c r="BV5805" s="32">
        <f t="shared" ca="1" si="90"/>
        <v>121</v>
      </c>
    </row>
    <row r="5806" spans="74:74" x14ac:dyDescent="0.3">
      <c r="BV5806" s="32">
        <f t="shared" ca="1" si="90"/>
        <v>121</v>
      </c>
    </row>
    <row r="5807" spans="74:74" x14ac:dyDescent="0.3">
      <c r="BV5807" s="32">
        <f t="shared" ca="1" si="90"/>
        <v>121</v>
      </c>
    </row>
    <row r="5808" spans="74:74" x14ac:dyDescent="0.3">
      <c r="BV5808" s="32">
        <f t="shared" ca="1" si="90"/>
        <v>121</v>
      </c>
    </row>
    <row r="5809" spans="74:74" x14ac:dyDescent="0.3">
      <c r="BV5809" s="32">
        <f t="shared" ca="1" si="90"/>
        <v>121</v>
      </c>
    </row>
    <row r="5810" spans="74:74" x14ac:dyDescent="0.3">
      <c r="BV5810" s="32">
        <f t="shared" ca="1" si="90"/>
        <v>121</v>
      </c>
    </row>
    <row r="5811" spans="74:74" x14ac:dyDescent="0.3">
      <c r="BV5811" s="32">
        <f t="shared" ca="1" si="90"/>
        <v>121</v>
      </c>
    </row>
    <row r="5812" spans="74:74" x14ac:dyDescent="0.3">
      <c r="BV5812" s="32">
        <f t="shared" ca="1" si="90"/>
        <v>121</v>
      </c>
    </row>
    <row r="5813" spans="74:74" x14ac:dyDescent="0.3">
      <c r="BV5813" s="32">
        <f t="shared" ca="1" si="90"/>
        <v>121</v>
      </c>
    </row>
    <row r="5814" spans="74:74" x14ac:dyDescent="0.3">
      <c r="BV5814" s="32">
        <f t="shared" ca="1" si="90"/>
        <v>121</v>
      </c>
    </row>
    <row r="5815" spans="74:74" x14ac:dyDescent="0.3">
      <c r="BV5815" s="32">
        <f t="shared" ca="1" si="90"/>
        <v>121</v>
      </c>
    </row>
    <row r="5816" spans="74:74" x14ac:dyDescent="0.3">
      <c r="BV5816" s="32">
        <f t="shared" ca="1" si="90"/>
        <v>121</v>
      </c>
    </row>
    <row r="5817" spans="74:74" x14ac:dyDescent="0.3">
      <c r="BV5817" s="32">
        <f t="shared" ca="1" si="90"/>
        <v>121</v>
      </c>
    </row>
    <row r="5818" spans="74:74" x14ac:dyDescent="0.3">
      <c r="BV5818" s="32">
        <f t="shared" ca="1" si="90"/>
        <v>121</v>
      </c>
    </row>
    <row r="5819" spans="74:74" x14ac:dyDescent="0.3">
      <c r="BV5819" s="32">
        <f t="shared" ca="1" si="90"/>
        <v>121</v>
      </c>
    </row>
    <row r="5820" spans="74:74" x14ac:dyDescent="0.3">
      <c r="BV5820" s="32">
        <f t="shared" ca="1" si="90"/>
        <v>121</v>
      </c>
    </row>
    <row r="5821" spans="74:74" x14ac:dyDescent="0.3">
      <c r="BV5821" s="32">
        <f t="shared" ca="1" si="90"/>
        <v>121</v>
      </c>
    </row>
    <row r="5822" spans="74:74" x14ac:dyDescent="0.3">
      <c r="BV5822" s="32">
        <f t="shared" ca="1" si="90"/>
        <v>121</v>
      </c>
    </row>
    <row r="5823" spans="74:74" x14ac:dyDescent="0.3">
      <c r="BV5823" s="32">
        <f t="shared" ca="1" si="90"/>
        <v>121</v>
      </c>
    </row>
    <row r="5824" spans="74:74" x14ac:dyDescent="0.3">
      <c r="BV5824" s="32">
        <f t="shared" ca="1" si="90"/>
        <v>121</v>
      </c>
    </row>
    <row r="5825" spans="74:74" x14ac:dyDescent="0.3">
      <c r="BV5825" s="32">
        <f t="shared" ca="1" si="90"/>
        <v>121</v>
      </c>
    </row>
    <row r="5826" spans="74:74" x14ac:dyDescent="0.3">
      <c r="BV5826" s="32">
        <f t="shared" ca="1" si="90"/>
        <v>121</v>
      </c>
    </row>
    <row r="5827" spans="74:74" x14ac:dyDescent="0.3">
      <c r="BV5827" s="32">
        <f t="shared" ca="1" si="90"/>
        <v>121</v>
      </c>
    </row>
    <row r="5828" spans="74:74" x14ac:dyDescent="0.3">
      <c r="BV5828" s="32">
        <f t="shared" ca="1" si="90"/>
        <v>121</v>
      </c>
    </row>
    <row r="5829" spans="74:74" x14ac:dyDescent="0.3">
      <c r="BV5829" s="32">
        <f t="shared" ca="1" si="90"/>
        <v>121</v>
      </c>
    </row>
    <row r="5830" spans="74:74" x14ac:dyDescent="0.3">
      <c r="BV5830" s="32">
        <f t="shared" ca="1" si="90"/>
        <v>121</v>
      </c>
    </row>
    <row r="5831" spans="74:74" x14ac:dyDescent="0.3">
      <c r="BV5831" s="32">
        <f t="shared" ca="1" si="90"/>
        <v>121</v>
      </c>
    </row>
    <row r="5832" spans="74:74" x14ac:dyDescent="0.3">
      <c r="BV5832" s="32">
        <f t="shared" ca="1" si="90"/>
        <v>121</v>
      </c>
    </row>
    <row r="5833" spans="74:74" x14ac:dyDescent="0.3">
      <c r="BV5833" s="32">
        <f t="shared" ca="1" si="90"/>
        <v>121</v>
      </c>
    </row>
    <row r="5834" spans="74:74" x14ac:dyDescent="0.3">
      <c r="BV5834" s="32">
        <f t="shared" ca="1" si="90"/>
        <v>121</v>
      </c>
    </row>
    <row r="5835" spans="74:74" x14ac:dyDescent="0.3">
      <c r="BV5835" s="32">
        <f t="shared" ca="1" si="90"/>
        <v>121</v>
      </c>
    </row>
    <row r="5836" spans="74:74" x14ac:dyDescent="0.3">
      <c r="BV5836" s="32">
        <f t="shared" ca="1" si="90"/>
        <v>121</v>
      </c>
    </row>
    <row r="5837" spans="74:74" x14ac:dyDescent="0.3">
      <c r="BV5837" s="32">
        <f t="shared" ref="BV5837:BV5900" ca="1" si="91">INT((TODAY()-$I5837)/365)</f>
        <v>121</v>
      </c>
    </row>
    <row r="5838" spans="74:74" x14ac:dyDescent="0.3">
      <c r="BV5838" s="32">
        <f t="shared" ca="1" si="91"/>
        <v>121</v>
      </c>
    </row>
    <row r="5839" spans="74:74" x14ac:dyDescent="0.3">
      <c r="BV5839" s="32">
        <f t="shared" ca="1" si="91"/>
        <v>121</v>
      </c>
    </row>
    <row r="5840" spans="74:74" x14ac:dyDescent="0.3">
      <c r="BV5840" s="32">
        <f t="shared" ca="1" si="91"/>
        <v>121</v>
      </c>
    </row>
    <row r="5841" spans="74:74" x14ac:dyDescent="0.3">
      <c r="BV5841" s="32">
        <f t="shared" ca="1" si="91"/>
        <v>121</v>
      </c>
    </row>
    <row r="5842" spans="74:74" x14ac:dyDescent="0.3">
      <c r="BV5842" s="32">
        <f t="shared" ca="1" si="91"/>
        <v>121</v>
      </c>
    </row>
    <row r="5843" spans="74:74" x14ac:dyDescent="0.3">
      <c r="BV5843" s="32">
        <f t="shared" ca="1" si="91"/>
        <v>121</v>
      </c>
    </row>
    <row r="5844" spans="74:74" x14ac:dyDescent="0.3">
      <c r="BV5844" s="32">
        <f t="shared" ca="1" si="91"/>
        <v>121</v>
      </c>
    </row>
    <row r="5845" spans="74:74" x14ac:dyDescent="0.3">
      <c r="BV5845" s="32">
        <f t="shared" ca="1" si="91"/>
        <v>121</v>
      </c>
    </row>
    <row r="5846" spans="74:74" x14ac:dyDescent="0.3">
      <c r="BV5846" s="32">
        <f t="shared" ca="1" si="91"/>
        <v>121</v>
      </c>
    </row>
    <row r="5847" spans="74:74" x14ac:dyDescent="0.3">
      <c r="BV5847" s="32">
        <f t="shared" ca="1" si="91"/>
        <v>121</v>
      </c>
    </row>
    <row r="5848" spans="74:74" x14ac:dyDescent="0.3">
      <c r="BV5848" s="32">
        <f t="shared" ca="1" si="91"/>
        <v>121</v>
      </c>
    </row>
    <row r="5849" spans="74:74" x14ac:dyDescent="0.3">
      <c r="BV5849" s="32">
        <f t="shared" ca="1" si="91"/>
        <v>121</v>
      </c>
    </row>
    <row r="5850" spans="74:74" x14ac:dyDescent="0.3">
      <c r="BV5850" s="32">
        <f t="shared" ca="1" si="91"/>
        <v>121</v>
      </c>
    </row>
    <row r="5851" spans="74:74" x14ac:dyDescent="0.3">
      <c r="BV5851" s="32">
        <f t="shared" ca="1" si="91"/>
        <v>121</v>
      </c>
    </row>
    <row r="5852" spans="74:74" x14ac:dyDescent="0.3">
      <c r="BV5852" s="32">
        <f t="shared" ca="1" si="91"/>
        <v>121</v>
      </c>
    </row>
    <row r="5853" spans="74:74" x14ac:dyDescent="0.3">
      <c r="BV5853" s="32">
        <f t="shared" ca="1" si="91"/>
        <v>121</v>
      </c>
    </row>
    <row r="5854" spans="74:74" x14ac:dyDescent="0.3">
      <c r="BV5854" s="32">
        <f t="shared" ca="1" si="91"/>
        <v>121</v>
      </c>
    </row>
    <row r="5855" spans="74:74" x14ac:dyDescent="0.3">
      <c r="BV5855" s="32">
        <f t="shared" ca="1" si="91"/>
        <v>121</v>
      </c>
    </row>
    <row r="5856" spans="74:74" x14ac:dyDescent="0.3">
      <c r="BV5856" s="32">
        <f t="shared" ca="1" si="91"/>
        <v>121</v>
      </c>
    </row>
    <row r="5857" spans="74:74" x14ac:dyDescent="0.3">
      <c r="BV5857" s="32">
        <f t="shared" ca="1" si="91"/>
        <v>121</v>
      </c>
    </row>
    <row r="5858" spans="74:74" x14ac:dyDescent="0.3">
      <c r="BV5858" s="32">
        <f t="shared" ca="1" si="91"/>
        <v>121</v>
      </c>
    </row>
    <row r="5859" spans="74:74" x14ac:dyDescent="0.3">
      <c r="BV5859" s="32">
        <f t="shared" ca="1" si="91"/>
        <v>121</v>
      </c>
    </row>
    <row r="5860" spans="74:74" x14ac:dyDescent="0.3">
      <c r="BV5860" s="32">
        <f t="shared" ca="1" si="91"/>
        <v>121</v>
      </c>
    </row>
    <row r="5861" spans="74:74" x14ac:dyDescent="0.3">
      <c r="BV5861" s="32">
        <f t="shared" ca="1" si="91"/>
        <v>121</v>
      </c>
    </row>
    <row r="5862" spans="74:74" x14ac:dyDescent="0.3">
      <c r="BV5862" s="32">
        <f t="shared" ca="1" si="91"/>
        <v>121</v>
      </c>
    </row>
    <row r="5863" spans="74:74" x14ac:dyDescent="0.3">
      <c r="BV5863" s="32">
        <f t="shared" ca="1" si="91"/>
        <v>121</v>
      </c>
    </row>
    <row r="5864" spans="74:74" x14ac:dyDescent="0.3">
      <c r="BV5864" s="32">
        <f t="shared" ca="1" si="91"/>
        <v>121</v>
      </c>
    </row>
    <row r="5865" spans="74:74" x14ac:dyDescent="0.3">
      <c r="BV5865" s="32">
        <f t="shared" ca="1" si="91"/>
        <v>121</v>
      </c>
    </row>
    <row r="5866" spans="74:74" x14ac:dyDescent="0.3">
      <c r="BV5866" s="32">
        <f t="shared" ca="1" si="91"/>
        <v>121</v>
      </c>
    </row>
    <row r="5867" spans="74:74" x14ac:dyDescent="0.3">
      <c r="BV5867" s="32">
        <f t="shared" ca="1" si="91"/>
        <v>121</v>
      </c>
    </row>
    <row r="5868" spans="74:74" x14ac:dyDescent="0.3">
      <c r="BV5868" s="32">
        <f t="shared" ca="1" si="91"/>
        <v>121</v>
      </c>
    </row>
    <row r="5869" spans="74:74" x14ac:dyDescent="0.3">
      <c r="BV5869" s="32">
        <f t="shared" ca="1" si="91"/>
        <v>121</v>
      </c>
    </row>
    <row r="5870" spans="74:74" x14ac:dyDescent="0.3">
      <c r="BV5870" s="32">
        <f t="shared" ca="1" si="91"/>
        <v>121</v>
      </c>
    </row>
    <row r="5871" spans="74:74" x14ac:dyDescent="0.3">
      <c r="BV5871" s="32">
        <f t="shared" ca="1" si="91"/>
        <v>121</v>
      </c>
    </row>
    <row r="5872" spans="74:74" x14ac:dyDescent="0.3">
      <c r="BV5872" s="32">
        <f t="shared" ca="1" si="91"/>
        <v>121</v>
      </c>
    </row>
    <row r="5873" spans="74:74" x14ac:dyDescent="0.3">
      <c r="BV5873" s="32">
        <f t="shared" ca="1" si="91"/>
        <v>121</v>
      </c>
    </row>
    <row r="5874" spans="74:74" x14ac:dyDescent="0.3">
      <c r="BV5874" s="32">
        <f t="shared" ca="1" si="91"/>
        <v>121</v>
      </c>
    </row>
    <row r="5875" spans="74:74" x14ac:dyDescent="0.3">
      <c r="BV5875" s="32">
        <f t="shared" ca="1" si="91"/>
        <v>121</v>
      </c>
    </row>
    <row r="5876" spans="74:74" x14ac:dyDescent="0.3">
      <c r="BV5876" s="32">
        <f t="shared" ca="1" si="91"/>
        <v>121</v>
      </c>
    </row>
    <row r="5877" spans="74:74" x14ac:dyDescent="0.3">
      <c r="BV5877" s="32">
        <f t="shared" ca="1" si="91"/>
        <v>121</v>
      </c>
    </row>
    <row r="5878" spans="74:74" x14ac:dyDescent="0.3">
      <c r="BV5878" s="32">
        <f t="shared" ca="1" si="91"/>
        <v>121</v>
      </c>
    </row>
    <row r="5879" spans="74:74" x14ac:dyDescent="0.3">
      <c r="BV5879" s="32">
        <f t="shared" ca="1" si="91"/>
        <v>121</v>
      </c>
    </row>
    <row r="5880" spans="74:74" x14ac:dyDescent="0.3">
      <c r="BV5880" s="32">
        <f t="shared" ca="1" si="91"/>
        <v>121</v>
      </c>
    </row>
    <row r="5881" spans="74:74" x14ac:dyDescent="0.3">
      <c r="BV5881" s="32">
        <f t="shared" ca="1" si="91"/>
        <v>121</v>
      </c>
    </row>
    <row r="5882" spans="74:74" x14ac:dyDescent="0.3">
      <c r="BV5882" s="32">
        <f t="shared" ca="1" si="91"/>
        <v>121</v>
      </c>
    </row>
    <row r="5883" spans="74:74" x14ac:dyDescent="0.3">
      <c r="BV5883" s="32">
        <f t="shared" ca="1" si="91"/>
        <v>121</v>
      </c>
    </row>
    <row r="5884" spans="74:74" x14ac:dyDescent="0.3">
      <c r="BV5884" s="32">
        <f t="shared" ca="1" si="91"/>
        <v>121</v>
      </c>
    </row>
    <row r="5885" spans="74:74" x14ac:dyDescent="0.3">
      <c r="BV5885" s="32">
        <f t="shared" ca="1" si="91"/>
        <v>121</v>
      </c>
    </row>
    <row r="5886" spans="74:74" x14ac:dyDescent="0.3">
      <c r="BV5886" s="32">
        <f t="shared" ca="1" si="91"/>
        <v>121</v>
      </c>
    </row>
    <row r="5887" spans="74:74" x14ac:dyDescent="0.3">
      <c r="BV5887" s="32">
        <f t="shared" ca="1" si="91"/>
        <v>121</v>
      </c>
    </row>
    <row r="5888" spans="74:74" x14ac:dyDescent="0.3">
      <c r="BV5888" s="32">
        <f t="shared" ca="1" si="91"/>
        <v>121</v>
      </c>
    </row>
    <row r="5889" spans="74:74" x14ac:dyDescent="0.3">
      <c r="BV5889" s="32">
        <f t="shared" ca="1" si="91"/>
        <v>121</v>
      </c>
    </row>
    <row r="5890" spans="74:74" x14ac:dyDescent="0.3">
      <c r="BV5890" s="32">
        <f t="shared" ca="1" si="91"/>
        <v>121</v>
      </c>
    </row>
    <row r="5891" spans="74:74" x14ac:dyDescent="0.3">
      <c r="BV5891" s="32">
        <f t="shared" ca="1" si="91"/>
        <v>121</v>
      </c>
    </row>
    <row r="5892" spans="74:74" x14ac:dyDescent="0.3">
      <c r="BV5892" s="32">
        <f t="shared" ca="1" si="91"/>
        <v>121</v>
      </c>
    </row>
    <row r="5893" spans="74:74" x14ac:dyDescent="0.3">
      <c r="BV5893" s="32">
        <f t="shared" ca="1" si="91"/>
        <v>121</v>
      </c>
    </row>
    <row r="5894" spans="74:74" x14ac:dyDescent="0.3">
      <c r="BV5894" s="32">
        <f t="shared" ca="1" si="91"/>
        <v>121</v>
      </c>
    </row>
    <row r="5895" spans="74:74" x14ac:dyDescent="0.3">
      <c r="BV5895" s="32">
        <f t="shared" ca="1" si="91"/>
        <v>121</v>
      </c>
    </row>
    <row r="5896" spans="74:74" x14ac:dyDescent="0.3">
      <c r="BV5896" s="32">
        <f t="shared" ca="1" si="91"/>
        <v>121</v>
      </c>
    </row>
    <row r="5897" spans="74:74" x14ac:dyDescent="0.3">
      <c r="BV5897" s="32">
        <f t="shared" ca="1" si="91"/>
        <v>121</v>
      </c>
    </row>
    <row r="5898" spans="74:74" x14ac:dyDescent="0.3">
      <c r="BV5898" s="32">
        <f t="shared" ca="1" si="91"/>
        <v>121</v>
      </c>
    </row>
    <row r="5899" spans="74:74" x14ac:dyDescent="0.3">
      <c r="BV5899" s="32">
        <f t="shared" ca="1" si="91"/>
        <v>121</v>
      </c>
    </row>
    <row r="5900" spans="74:74" x14ac:dyDescent="0.3">
      <c r="BV5900" s="32">
        <f t="shared" ca="1" si="91"/>
        <v>121</v>
      </c>
    </row>
    <row r="5901" spans="74:74" x14ac:dyDescent="0.3">
      <c r="BV5901" s="32">
        <f t="shared" ref="BV5901:BV5964" ca="1" si="92">INT((TODAY()-$I5901)/365)</f>
        <v>121</v>
      </c>
    </row>
    <row r="5902" spans="74:74" x14ac:dyDescent="0.3">
      <c r="BV5902" s="32">
        <f t="shared" ca="1" si="92"/>
        <v>121</v>
      </c>
    </row>
    <row r="5903" spans="74:74" x14ac:dyDescent="0.3">
      <c r="BV5903" s="32">
        <f t="shared" ca="1" si="92"/>
        <v>121</v>
      </c>
    </row>
    <row r="5904" spans="74:74" x14ac:dyDescent="0.3">
      <c r="BV5904" s="32">
        <f t="shared" ca="1" si="92"/>
        <v>121</v>
      </c>
    </row>
    <row r="5905" spans="74:74" x14ac:dyDescent="0.3">
      <c r="BV5905" s="32">
        <f t="shared" ca="1" si="92"/>
        <v>121</v>
      </c>
    </row>
    <row r="5906" spans="74:74" x14ac:dyDescent="0.3">
      <c r="BV5906" s="32">
        <f t="shared" ca="1" si="92"/>
        <v>121</v>
      </c>
    </row>
    <row r="5907" spans="74:74" x14ac:dyDescent="0.3">
      <c r="BV5907" s="32">
        <f t="shared" ca="1" si="92"/>
        <v>121</v>
      </c>
    </row>
    <row r="5908" spans="74:74" x14ac:dyDescent="0.3">
      <c r="BV5908" s="32">
        <f t="shared" ca="1" si="92"/>
        <v>121</v>
      </c>
    </row>
    <row r="5909" spans="74:74" x14ac:dyDescent="0.3">
      <c r="BV5909" s="32">
        <f t="shared" ca="1" si="92"/>
        <v>121</v>
      </c>
    </row>
    <row r="5910" spans="74:74" x14ac:dyDescent="0.3">
      <c r="BV5910" s="32">
        <f t="shared" ca="1" si="92"/>
        <v>121</v>
      </c>
    </row>
    <row r="5911" spans="74:74" x14ac:dyDescent="0.3">
      <c r="BV5911" s="32">
        <f t="shared" ca="1" si="92"/>
        <v>121</v>
      </c>
    </row>
    <row r="5912" spans="74:74" x14ac:dyDescent="0.3">
      <c r="BV5912" s="32">
        <f t="shared" ca="1" si="92"/>
        <v>121</v>
      </c>
    </row>
    <row r="5913" spans="74:74" x14ac:dyDescent="0.3">
      <c r="BV5913" s="32">
        <f t="shared" ca="1" si="92"/>
        <v>121</v>
      </c>
    </row>
    <row r="5914" spans="74:74" x14ac:dyDescent="0.3">
      <c r="BV5914" s="32">
        <f t="shared" ca="1" si="92"/>
        <v>121</v>
      </c>
    </row>
    <row r="5915" spans="74:74" x14ac:dyDescent="0.3">
      <c r="BV5915" s="32">
        <f t="shared" ca="1" si="92"/>
        <v>121</v>
      </c>
    </row>
    <row r="5916" spans="74:74" x14ac:dyDescent="0.3">
      <c r="BV5916" s="32">
        <f t="shared" ca="1" si="92"/>
        <v>121</v>
      </c>
    </row>
    <row r="5917" spans="74:74" x14ac:dyDescent="0.3">
      <c r="BV5917" s="32">
        <f t="shared" ca="1" si="92"/>
        <v>121</v>
      </c>
    </row>
    <row r="5918" spans="74:74" x14ac:dyDescent="0.3">
      <c r="BV5918" s="32">
        <f t="shared" ca="1" si="92"/>
        <v>121</v>
      </c>
    </row>
    <row r="5919" spans="74:74" x14ac:dyDescent="0.3">
      <c r="BV5919" s="32">
        <f t="shared" ca="1" si="92"/>
        <v>121</v>
      </c>
    </row>
    <row r="5920" spans="74:74" x14ac:dyDescent="0.3">
      <c r="BV5920" s="32">
        <f t="shared" ca="1" si="92"/>
        <v>121</v>
      </c>
    </row>
    <row r="5921" spans="74:74" x14ac:dyDescent="0.3">
      <c r="BV5921" s="32">
        <f t="shared" ca="1" si="92"/>
        <v>121</v>
      </c>
    </row>
    <row r="5922" spans="74:74" x14ac:dyDescent="0.3">
      <c r="BV5922" s="32">
        <f t="shared" ca="1" si="92"/>
        <v>121</v>
      </c>
    </row>
    <row r="5923" spans="74:74" x14ac:dyDescent="0.3">
      <c r="BV5923" s="32">
        <f t="shared" ca="1" si="92"/>
        <v>121</v>
      </c>
    </row>
    <row r="5924" spans="74:74" x14ac:dyDescent="0.3">
      <c r="BV5924" s="32">
        <f t="shared" ca="1" si="92"/>
        <v>121</v>
      </c>
    </row>
    <row r="5925" spans="74:74" x14ac:dyDescent="0.3">
      <c r="BV5925" s="32">
        <f t="shared" ca="1" si="92"/>
        <v>121</v>
      </c>
    </row>
    <row r="5926" spans="74:74" x14ac:dyDescent="0.3">
      <c r="BV5926" s="32">
        <f t="shared" ca="1" si="92"/>
        <v>121</v>
      </c>
    </row>
    <row r="5927" spans="74:74" x14ac:dyDescent="0.3">
      <c r="BV5927" s="32">
        <f t="shared" ca="1" si="92"/>
        <v>121</v>
      </c>
    </row>
    <row r="5928" spans="74:74" x14ac:dyDescent="0.3">
      <c r="BV5928" s="32">
        <f t="shared" ca="1" si="92"/>
        <v>121</v>
      </c>
    </row>
    <row r="5929" spans="74:74" x14ac:dyDescent="0.3">
      <c r="BV5929" s="32">
        <f t="shared" ca="1" si="92"/>
        <v>121</v>
      </c>
    </row>
    <row r="5930" spans="74:74" x14ac:dyDescent="0.3">
      <c r="BV5930" s="32">
        <f t="shared" ca="1" si="92"/>
        <v>121</v>
      </c>
    </row>
    <row r="5931" spans="74:74" x14ac:dyDescent="0.3">
      <c r="BV5931" s="32">
        <f t="shared" ca="1" si="92"/>
        <v>121</v>
      </c>
    </row>
    <row r="5932" spans="74:74" x14ac:dyDescent="0.3">
      <c r="BV5932" s="32">
        <f t="shared" ca="1" si="92"/>
        <v>121</v>
      </c>
    </row>
    <row r="5933" spans="74:74" x14ac:dyDescent="0.3">
      <c r="BV5933" s="32">
        <f t="shared" ca="1" si="92"/>
        <v>121</v>
      </c>
    </row>
    <row r="5934" spans="74:74" x14ac:dyDescent="0.3">
      <c r="BV5934" s="32">
        <f t="shared" ca="1" si="92"/>
        <v>121</v>
      </c>
    </row>
    <row r="5935" spans="74:74" x14ac:dyDescent="0.3">
      <c r="BV5935" s="32">
        <f t="shared" ca="1" si="92"/>
        <v>121</v>
      </c>
    </row>
    <row r="5936" spans="74:74" x14ac:dyDescent="0.3">
      <c r="BV5936" s="32">
        <f t="shared" ca="1" si="92"/>
        <v>121</v>
      </c>
    </row>
    <row r="5937" spans="74:74" x14ac:dyDescent="0.3">
      <c r="BV5937" s="32">
        <f t="shared" ca="1" si="92"/>
        <v>121</v>
      </c>
    </row>
    <row r="5938" spans="74:74" x14ac:dyDescent="0.3">
      <c r="BV5938" s="32">
        <f t="shared" ca="1" si="92"/>
        <v>121</v>
      </c>
    </row>
    <row r="5939" spans="74:74" x14ac:dyDescent="0.3">
      <c r="BV5939" s="32">
        <f t="shared" ca="1" si="92"/>
        <v>121</v>
      </c>
    </row>
    <row r="5940" spans="74:74" x14ac:dyDescent="0.3">
      <c r="BV5940" s="32">
        <f t="shared" ca="1" si="92"/>
        <v>121</v>
      </c>
    </row>
    <row r="5941" spans="74:74" x14ac:dyDescent="0.3">
      <c r="BV5941" s="32">
        <f t="shared" ca="1" si="92"/>
        <v>121</v>
      </c>
    </row>
    <row r="5942" spans="74:74" x14ac:dyDescent="0.3">
      <c r="BV5942" s="32">
        <f t="shared" ca="1" si="92"/>
        <v>121</v>
      </c>
    </row>
    <row r="5943" spans="74:74" x14ac:dyDescent="0.3">
      <c r="BV5943" s="32">
        <f t="shared" ca="1" si="92"/>
        <v>121</v>
      </c>
    </row>
    <row r="5944" spans="74:74" x14ac:dyDescent="0.3">
      <c r="BV5944" s="32">
        <f t="shared" ca="1" si="92"/>
        <v>121</v>
      </c>
    </row>
    <row r="5945" spans="74:74" x14ac:dyDescent="0.3">
      <c r="BV5945" s="32">
        <f t="shared" ca="1" si="92"/>
        <v>121</v>
      </c>
    </row>
    <row r="5946" spans="74:74" x14ac:dyDescent="0.3">
      <c r="BV5946" s="32">
        <f t="shared" ca="1" si="92"/>
        <v>121</v>
      </c>
    </row>
    <row r="5947" spans="74:74" x14ac:dyDescent="0.3">
      <c r="BV5947" s="32">
        <f t="shared" ca="1" si="92"/>
        <v>121</v>
      </c>
    </row>
    <row r="5948" spans="74:74" x14ac:dyDescent="0.3">
      <c r="BV5948" s="32">
        <f t="shared" ca="1" si="92"/>
        <v>121</v>
      </c>
    </row>
    <row r="5949" spans="74:74" x14ac:dyDescent="0.3">
      <c r="BV5949" s="32">
        <f t="shared" ca="1" si="92"/>
        <v>121</v>
      </c>
    </row>
    <row r="5950" spans="74:74" x14ac:dyDescent="0.3">
      <c r="BV5950" s="32">
        <f t="shared" ca="1" si="92"/>
        <v>121</v>
      </c>
    </row>
    <row r="5951" spans="74:74" x14ac:dyDescent="0.3">
      <c r="BV5951" s="32">
        <f t="shared" ca="1" si="92"/>
        <v>121</v>
      </c>
    </row>
    <row r="5952" spans="74:74" x14ac:dyDescent="0.3">
      <c r="BV5952" s="32">
        <f t="shared" ca="1" si="92"/>
        <v>121</v>
      </c>
    </row>
    <row r="5953" spans="74:74" x14ac:dyDescent="0.3">
      <c r="BV5953" s="32">
        <f t="shared" ca="1" si="92"/>
        <v>121</v>
      </c>
    </row>
    <row r="5954" spans="74:74" x14ac:dyDescent="0.3">
      <c r="BV5954" s="32">
        <f t="shared" ca="1" si="92"/>
        <v>121</v>
      </c>
    </row>
    <row r="5955" spans="74:74" x14ac:dyDescent="0.3">
      <c r="BV5955" s="32">
        <f t="shared" ca="1" si="92"/>
        <v>121</v>
      </c>
    </row>
    <row r="5956" spans="74:74" x14ac:dyDescent="0.3">
      <c r="BV5956" s="32">
        <f t="shared" ca="1" si="92"/>
        <v>121</v>
      </c>
    </row>
    <row r="5957" spans="74:74" x14ac:dyDescent="0.3">
      <c r="BV5957" s="32">
        <f t="shared" ca="1" si="92"/>
        <v>121</v>
      </c>
    </row>
    <row r="5958" spans="74:74" x14ac:dyDescent="0.3">
      <c r="BV5958" s="32">
        <f t="shared" ca="1" si="92"/>
        <v>121</v>
      </c>
    </row>
    <row r="5959" spans="74:74" x14ac:dyDescent="0.3">
      <c r="BV5959" s="32">
        <f t="shared" ca="1" si="92"/>
        <v>121</v>
      </c>
    </row>
    <row r="5960" spans="74:74" x14ac:dyDescent="0.3">
      <c r="BV5960" s="32">
        <f t="shared" ca="1" si="92"/>
        <v>121</v>
      </c>
    </row>
    <row r="5961" spans="74:74" x14ac:dyDescent="0.3">
      <c r="BV5961" s="32">
        <f t="shared" ca="1" si="92"/>
        <v>121</v>
      </c>
    </row>
    <row r="5962" spans="74:74" x14ac:dyDescent="0.3">
      <c r="BV5962" s="32">
        <f t="shared" ca="1" si="92"/>
        <v>121</v>
      </c>
    </row>
    <row r="5963" spans="74:74" x14ac:dyDescent="0.3">
      <c r="BV5963" s="32">
        <f t="shared" ca="1" si="92"/>
        <v>121</v>
      </c>
    </row>
    <row r="5964" spans="74:74" x14ac:dyDescent="0.3">
      <c r="BV5964" s="32">
        <f t="shared" ca="1" si="92"/>
        <v>121</v>
      </c>
    </row>
    <row r="5965" spans="74:74" x14ac:dyDescent="0.3">
      <c r="BV5965" s="32">
        <f t="shared" ref="BV5965:BV6028" ca="1" si="93">INT((TODAY()-$I5965)/365)</f>
        <v>121</v>
      </c>
    </row>
    <row r="5966" spans="74:74" x14ac:dyDescent="0.3">
      <c r="BV5966" s="32">
        <f t="shared" ca="1" si="93"/>
        <v>121</v>
      </c>
    </row>
    <row r="5967" spans="74:74" x14ac:dyDescent="0.3">
      <c r="BV5967" s="32">
        <f t="shared" ca="1" si="93"/>
        <v>121</v>
      </c>
    </row>
    <row r="5968" spans="74:74" x14ac:dyDescent="0.3">
      <c r="BV5968" s="32">
        <f t="shared" ca="1" si="93"/>
        <v>121</v>
      </c>
    </row>
    <row r="5969" spans="74:74" x14ac:dyDescent="0.3">
      <c r="BV5969" s="32">
        <f t="shared" ca="1" si="93"/>
        <v>121</v>
      </c>
    </row>
    <row r="5970" spans="74:74" x14ac:dyDescent="0.3">
      <c r="BV5970" s="32">
        <f t="shared" ca="1" si="93"/>
        <v>121</v>
      </c>
    </row>
    <row r="5971" spans="74:74" x14ac:dyDescent="0.3">
      <c r="BV5971" s="32">
        <f t="shared" ca="1" si="93"/>
        <v>121</v>
      </c>
    </row>
    <row r="5972" spans="74:74" x14ac:dyDescent="0.3">
      <c r="BV5972" s="32">
        <f t="shared" ca="1" si="93"/>
        <v>121</v>
      </c>
    </row>
    <row r="5973" spans="74:74" x14ac:dyDescent="0.3">
      <c r="BV5973" s="32">
        <f t="shared" ca="1" si="93"/>
        <v>121</v>
      </c>
    </row>
    <row r="5974" spans="74:74" x14ac:dyDescent="0.3">
      <c r="BV5974" s="32">
        <f t="shared" ca="1" si="93"/>
        <v>121</v>
      </c>
    </row>
    <row r="5975" spans="74:74" x14ac:dyDescent="0.3">
      <c r="BV5975" s="32">
        <f t="shared" ca="1" si="93"/>
        <v>121</v>
      </c>
    </row>
    <row r="5976" spans="74:74" x14ac:dyDescent="0.3">
      <c r="BV5976" s="32">
        <f t="shared" ca="1" si="93"/>
        <v>121</v>
      </c>
    </row>
    <row r="5977" spans="74:74" x14ac:dyDescent="0.3">
      <c r="BV5977" s="32">
        <f t="shared" ca="1" si="93"/>
        <v>121</v>
      </c>
    </row>
    <row r="5978" spans="74:74" x14ac:dyDescent="0.3">
      <c r="BV5978" s="32">
        <f t="shared" ca="1" si="93"/>
        <v>121</v>
      </c>
    </row>
    <row r="5979" spans="74:74" x14ac:dyDescent="0.3">
      <c r="BV5979" s="32">
        <f t="shared" ca="1" si="93"/>
        <v>121</v>
      </c>
    </row>
    <row r="5980" spans="74:74" x14ac:dyDescent="0.3">
      <c r="BV5980" s="32">
        <f t="shared" ca="1" si="93"/>
        <v>121</v>
      </c>
    </row>
    <row r="5981" spans="74:74" x14ac:dyDescent="0.3">
      <c r="BV5981" s="32">
        <f t="shared" ca="1" si="93"/>
        <v>121</v>
      </c>
    </row>
    <row r="5982" spans="74:74" x14ac:dyDescent="0.3">
      <c r="BV5982" s="32">
        <f t="shared" ca="1" si="93"/>
        <v>121</v>
      </c>
    </row>
    <row r="5983" spans="74:74" x14ac:dyDescent="0.3">
      <c r="BV5983" s="32">
        <f t="shared" ca="1" si="93"/>
        <v>121</v>
      </c>
    </row>
    <row r="5984" spans="74:74" x14ac:dyDescent="0.3">
      <c r="BV5984" s="32">
        <f t="shared" ca="1" si="93"/>
        <v>121</v>
      </c>
    </row>
    <row r="5985" spans="74:74" x14ac:dyDescent="0.3">
      <c r="BV5985" s="32">
        <f t="shared" ca="1" si="93"/>
        <v>121</v>
      </c>
    </row>
    <row r="5986" spans="74:74" x14ac:dyDescent="0.3">
      <c r="BV5986" s="32">
        <f t="shared" ca="1" si="93"/>
        <v>121</v>
      </c>
    </row>
    <row r="5987" spans="74:74" x14ac:dyDescent="0.3">
      <c r="BV5987" s="32">
        <f t="shared" ca="1" si="93"/>
        <v>121</v>
      </c>
    </row>
    <row r="5988" spans="74:74" x14ac:dyDescent="0.3">
      <c r="BV5988" s="32">
        <f t="shared" ca="1" si="93"/>
        <v>121</v>
      </c>
    </row>
    <row r="5989" spans="74:74" x14ac:dyDescent="0.3">
      <c r="BV5989" s="32">
        <f t="shared" ca="1" si="93"/>
        <v>121</v>
      </c>
    </row>
    <row r="5990" spans="74:74" x14ac:dyDescent="0.3">
      <c r="BV5990" s="32">
        <f t="shared" ca="1" si="93"/>
        <v>121</v>
      </c>
    </row>
    <row r="5991" spans="74:74" x14ac:dyDescent="0.3">
      <c r="BV5991" s="32">
        <f t="shared" ca="1" si="93"/>
        <v>121</v>
      </c>
    </row>
    <row r="5992" spans="74:74" x14ac:dyDescent="0.3">
      <c r="BV5992" s="32">
        <f t="shared" ca="1" si="93"/>
        <v>121</v>
      </c>
    </row>
    <row r="5993" spans="74:74" x14ac:dyDescent="0.3">
      <c r="BV5993" s="32">
        <f t="shared" ca="1" si="93"/>
        <v>121</v>
      </c>
    </row>
    <row r="5994" spans="74:74" x14ac:dyDescent="0.3">
      <c r="BV5994" s="32">
        <f t="shared" ca="1" si="93"/>
        <v>121</v>
      </c>
    </row>
    <row r="5995" spans="74:74" x14ac:dyDescent="0.3">
      <c r="BV5995" s="32">
        <f t="shared" ca="1" si="93"/>
        <v>121</v>
      </c>
    </row>
    <row r="5996" spans="74:74" x14ac:dyDescent="0.3">
      <c r="BV5996" s="32">
        <f t="shared" ca="1" si="93"/>
        <v>121</v>
      </c>
    </row>
    <row r="5997" spans="74:74" x14ac:dyDescent="0.3">
      <c r="BV5997" s="32">
        <f t="shared" ca="1" si="93"/>
        <v>121</v>
      </c>
    </row>
    <row r="5998" spans="74:74" x14ac:dyDescent="0.3">
      <c r="BV5998" s="32">
        <f t="shared" ca="1" si="93"/>
        <v>121</v>
      </c>
    </row>
    <row r="5999" spans="74:74" x14ac:dyDescent="0.3">
      <c r="BV5999" s="32">
        <f t="shared" ca="1" si="93"/>
        <v>121</v>
      </c>
    </row>
    <row r="6000" spans="74:74" x14ac:dyDescent="0.3">
      <c r="BV6000" s="32">
        <f t="shared" ca="1" si="93"/>
        <v>121</v>
      </c>
    </row>
    <row r="6001" spans="74:74" x14ac:dyDescent="0.3">
      <c r="BV6001" s="32">
        <f t="shared" ca="1" si="93"/>
        <v>121</v>
      </c>
    </row>
    <row r="6002" spans="74:74" x14ac:dyDescent="0.3">
      <c r="BV6002" s="32">
        <f t="shared" ca="1" si="93"/>
        <v>121</v>
      </c>
    </row>
    <row r="6003" spans="74:74" x14ac:dyDescent="0.3">
      <c r="BV6003" s="32">
        <f t="shared" ca="1" si="93"/>
        <v>121</v>
      </c>
    </row>
    <row r="6004" spans="74:74" x14ac:dyDescent="0.3">
      <c r="BV6004" s="32">
        <f t="shared" ca="1" si="93"/>
        <v>121</v>
      </c>
    </row>
    <row r="6005" spans="74:74" x14ac:dyDescent="0.3">
      <c r="BV6005" s="32">
        <f t="shared" ca="1" si="93"/>
        <v>121</v>
      </c>
    </row>
    <row r="6006" spans="74:74" x14ac:dyDescent="0.3">
      <c r="BV6006" s="32">
        <f t="shared" ca="1" si="93"/>
        <v>121</v>
      </c>
    </row>
    <row r="6007" spans="74:74" x14ac:dyDescent="0.3">
      <c r="BV6007" s="32">
        <f t="shared" ca="1" si="93"/>
        <v>121</v>
      </c>
    </row>
    <row r="6008" spans="74:74" x14ac:dyDescent="0.3">
      <c r="BV6008" s="32">
        <f t="shared" ca="1" si="93"/>
        <v>121</v>
      </c>
    </row>
    <row r="6009" spans="74:74" x14ac:dyDescent="0.3">
      <c r="BV6009" s="32">
        <f t="shared" ca="1" si="93"/>
        <v>121</v>
      </c>
    </row>
    <row r="6010" spans="74:74" x14ac:dyDescent="0.3">
      <c r="BV6010" s="32">
        <f t="shared" ca="1" si="93"/>
        <v>121</v>
      </c>
    </row>
    <row r="6011" spans="74:74" x14ac:dyDescent="0.3">
      <c r="BV6011" s="32">
        <f t="shared" ca="1" si="93"/>
        <v>121</v>
      </c>
    </row>
    <row r="6012" spans="74:74" x14ac:dyDescent="0.3">
      <c r="BV6012" s="32">
        <f t="shared" ca="1" si="93"/>
        <v>121</v>
      </c>
    </row>
    <row r="6013" spans="74:74" x14ac:dyDescent="0.3">
      <c r="BV6013" s="32">
        <f t="shared" ca="1" si="93"/>
        <v>121</v>
      </c>
    </row>
    <row r="6014" spans="74:74" x14ac:dyDescent="0.3">
      <c r="BV6014" s="32">
        <f t="shared" ca="1" si="93"/>
        <v>121</v>
      </c>
    </row>
    <row r="6015" spans="74:74" x14ac:dyDescent="0.3">
      <c r="BV6015" s="32">
        <f t="shared" ca="1" si="93"/>
        <v>121</v>
      </c>
    </row>
    <row r="6016" spans="74:74" x14ac:dyDescent="0.3">
      <c r="BV6016" s="32">
        <f t="shared" ca="1" si="93"/>
        <v>121</v>
      </c>
    </row>
    <row r="6017" spans="74:74" x14ac:dyDescent="0.3">
      <c r="BV6017" s="32">
        <f t="shared" ca="1" si="93"/>
        <v>121</v>
      </c>
    </row>
    <row r="6018" spans="74:74" x14ac:dyDescent="0.3">
      <c r="BV6018" s="32">
        <f t="shared" ca="1" si="93"/>
        <v>121</v>
      </c>
    </row>
    <row r="6019" spans="74:74" x14ac:dyDescent="0.3">
      <c r="BV6019" s="32">
        <f t="shared" ca="1" si="93"/>
        <v>121</v>
      </c>
    </row>
    <row r="6020" spans="74:74" x14ac:dyDescent="0.3">
      <c r="BV6020" s="32">
        <f t="shared" ca="1" si="93"/>
        <v>121</v>
      </c>
    </row>
    <row r="6021" spans="74:74" x14ac:dyDescent="0.3">
      <c r="BV6021" s="32">
        <f t="shared" ca="1" si="93"/>
        <v>121</v>
      </c>
    </row>
    <row r="6022" spans="74:74" x14ac:dyDescent="0.3">
      <c r="BV6022" s="32">
        <f t="shared" ca="1" si="93"/>
        <v>121</v>
      </c>
    </row>
    <row r="6023" spans="74:74" x14ac:dyDescent="0.3">
      <c r="BV6023" s="32">
        <f t="shared" ca="1" si="93"/>
        <v>121</v>
      </c>
    </row>
    <row r="6024" spans="74:74" x14ac:dyDescent="0.3">
      <c r="BV6024" s="32">
        <f t="shared" ca="1" si="93"/>
        <v>121</v>
      </c>
    </row>
    <row r="6025" spans="74:74" x14ac:dyDescent="0.3">
      <c r="BV6025" s="32">
        <f t="shared" ca="1" si="93"/>
        <v>121</v>
      </c>
    </row>
    <row r="6026" spans="74:74" x14ac:dyDescent="0.3">
      <c r="BV6026" s="32">
        <f t="shared" ca="1" si="93"/>
        <v>121</v>
      </c>
    </row>
    <row r="6027" spans="74:74" x14ac:dyDescent="0.3">
      <c r="BV6027" s="32">
        <f t="shared" ca="1" si="93"/>
        <v>121</v>
      </c>
    </row>
    <row r="6028" spans="74:74" x14ac:dyDescent="0.3">
      <c r="BV6028" s="32">
        <f t="shared" ca="1" si="93"/>
        <v>121</v>
      </c>
    </row>
    <row r="6029" spans="74:74" x14ac:dyDescent="0.3">
      <c r="BV6029" s="32">
        <f t="shared" ref="BV6029:BV6092" ca="1" si="94">INT((TODAY()-$I6029)/365)</f>
        <v>121</v>
      </c>
    </row>
    <row r="6030" spans="74:74" x14ac:dyDescent="0.3">
      <c r="BV6030" s="32">
        <f t="shared" ca="1" si="94"/>
        <v>121</v>
      </c>
    </row>
    <row r="6031" spans="74:74" x14ac:dyDescent="0.3">
      <c r="BV6031" s="32">
        <f t="shared" ca="1" si="94"/>
        <v>121</v>
      </c>
    </row>
    <row r="6032" spans="74:74" x14ac:dyDescent="0.3">
      <c r="BV6032" s="32">
        <f t="shared" ca="1" si="94"/>
        <v>121</v>
      </c>
    </row>
    <row r="6033" spans="74:74" x14ac:dyDescent="0.3">
      <c r="BV6033" s="32">
        <f t="shared" ca="1" si="94"/>
        <v>121</v>
      </c>
    </row>
    <row r="6034" spans="74:74" x14ac:dyDescent="0.3">
      <c r="BV6034" s="32">
        <f t="shared" ca="1" si="94"/>
        <v>121</v>
      </c>
    </row>
    <row r="6035" spans="74:74" x14ac:dyDescent="0.3">
      <c r="BV6035" s="32">
        <f t="shared" ca="1" si="94"/>
        <v>121</v>
      </c>
    </row>
    <row r="6036" spans="74:74" x14ac:dyDescent="0.3">
      <c r="BV6036" s="32">
        <f t="shared" ca="1" si="94"/>
        <v>121</v>
      </c>
    </row>
    <row r="6037" spans="74:74" x14ac:dyDescent="0.3">
      <c r="BV6037" s="32">
        <f t="shared" ca="1" si="94"/>
        <v>121</v>
      </c>
    </row>
    <row r="6038" spans="74:74" x14ac:dyDescent="0.3">
      <c r="BV6038" s="32">
        <f t="shared" ca="1" si="94"/>
        <v>121</v>
      </c>
    </row>
    <row r="6039" spans="74:74" x14ac:dyDescent="0.3">
      <c r="BV6039" s="32">
        <f t="shared" ca="1" si="94"/>
        <v>121</v>
      </c>
    </row>
    <row r="6040" spans="74:74" x14ac:dyDescent="0.3">
      <c r="BV6040" s="32">
        <f t="shared" ca="1" si="94"/>
        <v>121</v>
      </c>
    </row>
    <row r="6041" spans="74:74" x14ac:dyDescent="0.3">
      <c r="BV6041" s="32">
        <f t="shared" ca="1" si="94"/>
        <v>121</v>
      </c>
    </row>
    <row r="6042" spans="74:74" x14ac:dyDescent="0.3">
      <c r="BV6042" s="32">
        <f t="shared" ca="1" si="94"/>
        <v>121</v>
      </c>
    </row>
    <row r="6043" spans="74:74" x14ac:dyDescent="0.3">
      <c r="BV6043" s="32">
        <f t="shared" ca="1" si="94"/>
        <v>121</v>
      </c>
    </row>
    <row r="6044" spans="74:74" x14ac:dyDescent="0.3">
      <c r="BV6044" s="32">
        <f t="shared" ca="1" si="94"/>
        <v>121</v>
      </c>
    </row>
    <row r="6045" spans="74:74" x14ac:dyDescent="0.3">
      <c r="BV6045" s="32">
        <f t="shared" ca="1" si="94"/>
        <v>121</v>
      </c>
    </row>
    <row r="6046" spans="74:74" x14ac:dyDescent="0.3">
      <c r="BV6046" s="32">
        <f t="shared" ca="1" si="94"/>
        <v>121</v>
      </c>
    </row>
    <row r="6047" spans="74:74" x14ac:dyDescent="0.3">
      <c r="BV6047" s="32">
        <f t="shared" ca="1" si="94"/>
        <v>121</v>
      </c>
    </row>
    <row r="6048" spans="74:74" x14ac:dyDescent="0.3">
      <c r="BV6048" s="32">
        <f t="shared" ca="1" si="94"/>
        <v>121</v>
      </c>
    </row>
    <row r="6049" spans="74:74" x14ac:dyDescent="0.3">
      <c r="BV6049" s="32">
        <f t="shared" ca="1" si="94"/>
        <v>121</v>
      </c>
    </row>
    <row r="6050" spans="74:74" x14ac:dyDescent="0.3">
      <c r="BV6050" s="32">
        <f t="shared" ca="1" si="94"/>
        <v>121</v>
      </c>
    </row>
    <row r="6051" spans="74:74" x14ac:dyDescent="0.3">
      <c r="BV6051" s="32">
        <f t="shared" ca="1" si="94"/>
        <v>121</v>
      </c>
    </row>
    <row r="6052" spans="74:74" x14ac:dyDescent="0.3">
      <c r="BV6052" s="32">
        <f t="shared" ca="1" si="94"/>
        <v>121</v>
      </c>
    </row>
    <row r="6053" spans="74:74" x14ac:dyDescent="0.3">
      <c r="BV6053" s="32">
        <f t="shared" ca="1" si="94"/>
        <v>121</v>
      </c>
    </row>
    <row r="6054" spans="74:74" x14ac:dyDescent="0.3">
      <c r="BV6054" s="32">
        <f t="shared" ca="1" si="94"/>
        <v>121</v>
      </c>
    </row>
    <row r="6055" spans="74:74" x14ac:dyDescent="0.3">
      <c r="BV6055" s="32">
        <f t="shared" ca="1" si="94"/>
        <v>121</v>
      </c>
    </row>
    <row r="6056" spans="74:74" x14ac:dyDescent="0.3">
      <c r="BV6056" s="32">
        <f t="shared" ca="1" si="94"/>
        <v>121</v>
      </c>
    </row>
    <row r="6057" spans="74:74" x14ac:dyDescent="0.3">
      <c r="BV6057" s="32">
        <f t="shared" ca="1" si="94"/>
        <v>121</v>
      </c>
    </row>
    <row r="6058" spans="74:74" x14ac:dyDescent="0.3">
      <c r="BV6058" s="32">
        <f t="shared" ca="1" si="94"/>
        <v>121</v>
      </c>
    </row>
    <row r="6059" spans="74:74" x14ac:dyDescent="0.3">
      <c r="BV6059" s="32">
        <f t="shared" ca="1" si="94"/>
        <v>121</v>
      </c>
    </row>
    <row r="6060" spans="74:74" x14ac:dyDescent="0.3">
      <c r="BV6060" s="32">
        <f t="shared" ca="1" si="94"/>
        <v>121</v>
      </c>
    </row>
    <row r="6061" spans="74:74" x14ac:dyDescent="0.3">
      <c r="BV6061" s="32">
        <f t="shared" ca="1" si="94"/>
        <v>121</v>
      </c>
    </row>
    <row r="6062" spans="74:74" x14ac:dyDescent="0.3">
      <c r="BV6062" s="32">
        <f t="shared" ca="1" si="94"/>
        <v>121</v>
      </c>
    </row>
    <row r="6063" spans="74:74" x14ac:dyDescent="0.3">
      <c r="BV6063" s="32">
        <f t="shared" ca="1" si="94"/>
        <v>121</v>
      </c>
    </row>
    <row r="6064" spans="74:74" x14ac:dyDescent="0.3">
      <c r="BV6064" s="32">
        <f t="shared" ca="1" si="94"/>
        <v>121</v>
      </c>
    </row>
    <row r="6065" spans="74:74" x14ac:dyDescent="0.3">
      <c r="BV6065" s="32">
        <f t="shared" ca="1" si="94"/>
        <v>121</v>
      </c>
    </row>
    <row r="6066" spans="74:74" x14ac:dyDescent="0.3">
      <c r="BV6066" s="32">
        <f t="shared" ca="1" si="94"/>
        <v>121</v>
      </c>
    </row>
    <row r="6067" spans="74:74" x14ac:dyDescent="0.3">
      <c r="BV6067" s="32">
        <f t="shared" ca="1" si="94"/>
        <v>121</v>
      </c>
    </row>
    <row r="6068" spans="74:74" x14ac:dyDescent="0.3">
      <c r="BV6068" s="32">
        <f t="shared" ca="1" si="94"/>
        <v>121</v>
      </c>
    </row>
    <row r="6069" spans="74:74" x14ac:dyDescent="0.3">
      <c r="BV6069" s="32">
        <f t="shared" ca="1" si="94"/>
        <v>121</v>
      </c>
    </row>
    <row r="6070" spans="74:74" x14ac:dyDescent="0.3">
      <c r="BV6070" s="32">
        <f t="shared" ca="1" si="94"/>
        <v>121</v>
      </c>
    </row>
    <row r="6071" spans="74:74" x14ac:dyDescent="0.3">
      <c r="BV6071" s="32">
        <f t="shared" ca="1" si="94"/>
        <v>121</v>
      </c>
    </row>
    <row r="6072" spans="74:74" x14ac:dyDescent="0.3">
      <c r="BV6072" s="32">
        <f t="shared" ca="1" si="94"/>
        <v>121</v>
      </c>
    </row>
    <row r="6073" spans="74:74" x14ac:dyDescent="0.3">
      <c r="BV6073" s="32">
        <f t="shared" ca="1" si="94"/>
        <v>121</v>
      </c>
    </row>
    <row r="6074" spans="74:74" x14ac:dyDescent="0.3">
      <c r="BV6074" s="32">
        <f t="shared" ca="1" si="94"/>
        <v>121</v>
      </c>
    </row>
    <row r="6075" spans="74:74" x14ac:dyDescent="0.3">
      <c r="BV6075" s="32">
        <f t="shared" ca="1" si="94"/>
        <v>121</v>
      </c>
    </row>
    <row r="6076" spans="74:74" x14ac:dyDescent="0.3">
      <c r="BV6076" s="32">
        <f t="shared" ca="1" si="94"/>
        <v>121</v>
      </c>
    </row>
    <row r="6077" spans="74:74" x14ac:dyDescent="0.3">
      <c r="BV6077" s="32">
        <f t="shared" ca="1" si="94"/>
        <v>121</v>
      </c>
    </row>
    <row r="6078" spans="74:74" x14ac:dyDescent="0.3">
      <c r="BV6078" s="32">
        <f t="shared" ca="1" si="94"/>
        <v>121</v>
      </c>
    </row>
    <row r="6079" spans="74:74" x14ac:dyDescent="0.3">
      <c r="BV6079" s="32">
        <f t="shared" ca="1" si="94"/>
        <v>121</v>
      </c>
    </row>
    <row r="6080" spans="74:74" x14ac:dyDescent="0.3">
      <c r="BV6080" s="32">
        <f t="shared" ca="1" si="94"/>
        <v>121</v>
      </c>
    </row>
    <row r="6081" spans="74:74" x14ac:dyDescent="0.3">
      <c r="BV6081" s="32">
        <f t="shared" ca="1" si="94"/>
        <v>121</v>
      </c>
    </row>
    <row r="6082" spans="74:74" x14ac:dyDescent="0.3">
      <c r="BV6082" s="32">
        <f t="shared" ca="1" si="94"/>
        <v>121</v>
      </c>
    </row>
    <row r="6083" spans="74:74" x14ac:dyDescent="0.3">
      <c r="BV6083" s="32">
        <f t="shared" ca="1" si="94"/>
        <v>121</v>
      </c>
    </row>
    <row r="6084" spans="74:74" x14ac:dyDescent="0.3">
      <c r="BV6084" s="32">
        <f t="shared" ca="1" si="94"/>
        <v>121</v>
      </c>
    </row>
    <row r="6085" spans="74:74" x14ac:dyDescent="0.3">
      <c r="BV6085" s="32">
        <f t="shared" ca="1" si="94"/>
        <v>121</v>
      </c>
    </row>
    <row r="6086" spans="74:74" x14ac:dyDescent="0.3">
      <c r="BV6086" s="32">
        <f t="shared" ca="1" si="94"/>
        <v>121</v>
      </c>
    </row>
    <row r="6087" spans="74:74" x14ac:dyDescent="0.3">
      <c r="BV6087" s="32">
        <f t="shared" ca="1" si="94"/>
        <v>121</v>
      </c>
    </row>
    <row r="6088" spans="74:74" x14ac:dyDescent="0.3">
      <c r="BV6088" s="32">
        <f t="shared" ca="1" si="94"/>
        <v>121</v>
      </c>
    </row>
    <row r="6089" spans="74:74" x14ac:dyDescent="0.3">
      <c r="BV6089" s="32">
        <f t="shared" ca="1" si="94"/>
        <v>121</v>
      </c>
    </row>
    <row r="6090" spans="74:74" x14ac:dyDescent="0.3">
      <c r="BV6090" s="32">
        <f t="shared" ca="1" si="94"/>
        <v>121</v>
      </c>
    </row>
    <row r="6091" spans="74:74" x14ac:dyDescent="0.3">
      <c r="BV6091" s="32">
        <f t="shared" ca="1" si="94"/>
        <v>121</v>
      </c>
    </row>
    <row r="6092" spans="74:74" x14ac:dyDescent="0.3">
      <c r="BV6092" s="32">
        <f t="shared" ca="1" si="94"/>
        <v>121</v>
      </c>
    </row>
    <row r="6093" spans="74:74" x14ac:dyDescent="0.3">
      <c r="BV6093" s="32">
        <f t="shared" ref="BV6093:BV6156" ca="1" si="95">INT((TODAY()-$I6093)/365)</f>
        <v>121</v>
      </c>
    </row>
    <row r="6094" spans="74:74" x14ac:dyDescent="0.3">
      <c r="BV6094" s="32">
        <f t="shared" ca="1" si="95"/>
        <v>121</v>
      </c>
    </row>
    <row r="6095" spans="74:74" x14ac:dyDescent="0.3">
      <c r="BV6095" s="32">
        <f t="shared" ca="1" si="95"/>
        <v>121</v>
      </c>
    </row>
    <row r="6096" spans="74:74" x14ac:dyDescent="0.3">
      <c r="BV6096" s="32">
        <f t="shared" ca="1" si="95"/>
        <v>121</v>
      </c>
    </row>
    <row r="6097" spans="74:74" x14ac:dyDescent="0.3">
      <c r="BV6097" s="32">
        <f t="shared" ca="1" si="95"/>
        <v>121</v>
      </c>
    </row>
    <row r="6098" spans="74:74" x14ac:dyDescent="0.3">
      <c r="BV6098" s="32">
        <f t="shared" ca="1" si="95"/>
        <v>121</v>
      </c>
    </row>
    <row r="6099" spans="74:74" x14ac:dyDescent="0.3">
      <c r="BV6099" s="32">
        <f t="shared" ca="1" si="95"/>
        <v>121</v>
      </c>
    </row>
    <row r="6100" spans="74:74" x14ac:dyDescent="0.3">
      <c r="BV6100" s="32">
        <f t="shared" ca="1" si="95"/>
        <v>121</v>
      </c>
    </row>
    <row r="6101" spans="74:74" x14ac:dyDescent="0.3">
      <c r="BV6101" s="32">
        <f t="shared" ca="1" si="95"/>
        <v>121</v>
      </c>
    </row>
    <row r="6102" spans="74:74" x14ac:dyDescent="0.3">
      <c r="BV6102" s="32">
        <f t="shared" ca="1" si="95"/>
        <v>121</v>
      </c>
    </row>
    <row r="6103" spans="74:74" x14ac:dyDescent="0.3">
      <c r="BV6103" s="32">
        <f t="shared" ca="1" si="95"/>
        <v>121</v>
      </c>
    </row>
    <row r="6104" spans="74:74" x14ac:dyDescent="0.3">
      <c r="BV6104" s="32">
        <f t="shared" ca="1" si="95"/>
        <v>121</v>
      </c>
    </row>
    <row r="6105" spans="74:74" x14ac:dyDescent="0.3">
      <c r="BV6105" s="32">
        <f t="shared" ca="1" si="95"/>
        <v>121</v>
      </c>
    </row>
    <row r="6106" spans="74:74" x14ac:dyDescent="0.3">
      <c r="BV6106" s="32">
        <f t="shared" ca="1" si="95"/>
        <v>121</v>
      </c>
    </row>
    <row r="6107" spans="74:74" x14ac:dyDescent="0.3">
      <c r="BV6107" s="32">
        <f t="shared" ca="1" si="95"/>
        <v>121</v>
      </c>
    </row>
    <row r="6108" spans="74:74" x14ac:dyDescent="0.3">
      <c r="BV6108" s="32">
        <f t="shared" ca="1" si="95"/>
        <v>121</v>
      </c>
    </row>
    <row r="6109" spans="74:74" x14ac:dyDescent="0.3">
      <c r="BV6109" s="32">
        <f t="shared" ca="1" si="95"/>
        <v>121</v>
      </c>
    </row>
    <row r="6110" spans="74:74" x14ac:dyDescent="0.3">
      <c r="BV6110" s="32">
        <f t="shared" ca="1" si="95"/>
        <v>121</v>
      </c>
    </row>
    <row r="6111" spans="74:74" x14ac:dyDescent="0.3">
      <c r="BV6111" s="32">
        <f t="shared" ca="1" si="95"/>
        <v>121</v>
      </c>
    </row>
    <row r="6112" spans="74:74" x14ac:dyDescent="0.3">
      <c r="BV6112" s="32">
        <f t="shared" ca="1" si="95"/>
        <v>121</v>
      </c>
    </row>
    <row r="6113" spans="74:74" x14ac:dyDescent="0.3">
      <c r="BV6113" s="32">
        <f t="shared" ca="1" si="95"/>
        <v>121</v>
      </c>
    </row>
    <row r="6114" spans="74:74" x14ac:dyDescent="0.3">
      <c r="BV6114" s="32">
        <f t="shared" ca="1" si="95"/>
        <v>121</v>
      </c>
    </row>
    <row r="6115" spans="74:74" x14ac:dyDescent="0.3">
      <c r="BV6115" s="32">
        <f t="shared" ca="1" si="95"/>
        <v>121</v>
      </c>
    </row>
    <row r="6116" spans="74:74" x14ac:dyDescent="0.3">
      <c r="BV6116" s="32">
        <f t="shared" ca="1" si="95"/>
        <v>121</v>
      </c>
    </row>
    <row r="6117" spans="74:74" x14ac:dyDescent="0.3">
      <c r="BV6117" s="32">
        <f t="shared" ca="1" si="95"/>
        <v>121</v>
      </c>
    </row>
    <row r="6118" spans="74:74" x14ac:dyDescent="0.3">
      <c r="BV6118" s="32">
        <f t="shared" ca="1" si="95"/>
        <v>121</v>
      </c>
    </row>
    <row r="6119" spans="74:74" x14ac:dyDescent="0.3">
      <c r="BV6119" s="32">
        <f t="shared" ca="1" si="95"/>
        <v>121</v>
      </c>
    </row>
    <row r="6120" spans="74:74" x14ac:dyDescent="0.3">
      <c r="BV6120" s="32">
        <f t="shared" ca="1" si="95"/>
        <v>121</v>
      </c>
    </row>
    <row r="6121" spans="74:74" x14ac:dyDescent="0.3">
      <c r="BV6121" s="32">
        <f t="shared" ca="1" si="95"/>
        <v>121</v>
      </c>
    </row>
    <row r="6122" spans="74:74" x14ac:dyDescent="0.3">
      <c r="BV6122" s="32">
        <f t="shared" ca="1" si="95"/>
        <v>121</v>
      </c>
    </row>
    <row r="6123" spans="74:74" x14ac:dyDescent="0.3">
      <c r="BV6123" s="32">
        <f t="shared" ca="1" si="95"/>
        <v>121</v>
      </c>
    </row>
    <row r="6124" spans="74:74" x14ac:dyDescent="0.3">
      <c r="BV6124" s="32">
        <f t="shared" ca="1" si="95"/>
        <v>121</v>
      </c>
    </row>
    <row r="6125" spans="74:74" x14ac:dyDescent="0.3">
      <c r="BV6125" s="32">
        <f t="shared" ca="1" si="95"/>
        <v>121</v>
      </c>
    </row>
    <row r="6126" spans="74:74" x14ac:dyDescent="0.3">
      <c r="BV6126" s="32">
        <f t="shared" ca="1" si="95"/>
        <v>121</v>
      </c>
    </row>
    <row r="6127" spans="74:74" x14ac:dyDescent="0.3">
      <c r="BV6127" s="32">
        <f t="shared" ca="1" si="95"/>
        <v>121</v>
      </c>
    </row>
    <row r="6128" spans="74:74" x14ac:dyDescent="0.3">
      <c r="BV6128" s="32">
        <f t="shared" ca="1" si="95"/>
        <v>121</v>
      </c>
    </row>
    <row r="6129" spans="74:74" x14ac:dyDescent="0.3">
      <c r="BV6129" s="32">
        <f t="shared" ca="1" si="95"/>
        <v>121</v>
      </c>
    </row>
    <row r="6130" spans="74:74" x14ac:dyDescent="0.3">
      <c r="BV6130" s="32">
        <f t="shared" ca="1" si="95"/>
        <v>121</v>
      </c>
    </row>
    <row r="6131" spans="74:74" x14ac:dyDescent="0.3">
      <c r="BV6131" s="32">
        <f t="shared" ca="1" si="95"/>
        <v>121</v>
      </c>
    </row>
    <row r="6132" spans="74:74" x14ac:dyDescent="0.3">
      <c r="BV6132" s="32">
        <f t="shared" ca="1" si="95"/>
        <v>121</v>
      </c>
    </row>
    <row r="6133" spans="74:74" x14ac:dyDescent="0.3">
      <c r="BV6133" s="32">
        <f t="shared" ca="1" si="95"/>
        <v>121</v>
      </c>
    </row>
    <row r="6134" spans="74:74" x14ac:dyDescent="0.3">
      <c r="BV6134" s="32">
        <f t="shared" ca="1" si="95"/>
        <v>121</v>
      </c>
    </row>
    <row r="6135" spans="74:74" x14ac:dyDescent="0.3">
      <c r="BV6135" s="32">
        <f t="shared" ca="1" si="95"/>
        <v>121</v>
      </c>
    </row>
    <row r="6136" spans="74:74" x14ac:dyDescent="0.3">
      <c r="BV6136" s="32">
        <f t="shared" ca="1" si="95"/>
        <v>121</v>
      </c>
    </row>
    <row r="6137" spans="74:74" x14ac:dyDescent="0.3">
      <c r="BV6137" s="32">
        <f t="shared" ca="1" si="95"/>
        <v>121</v>
      </c>
    </row>
    <row r="6138" spans="74:74" x14ac:dyDescent="0.3">
      <c r="BV6138" s="32">
        <f t="shared" ca="1" si="95"/>
        <v>121</v>
      </c>
    </row>
    <row r="6139" spans="74:74" x14ac:dyDescent="0.3">
      <c r="BV6139" s="32">
        <f t="shared" ca="1" si="95"/>
        <v>121</v>
      </c>
    </row>
    <row r="6140" spans="74:74" x14ac:dyDescent="0.3">
      <c r="BV6140" s="32">
        <f t="shared" ca="1" si="95"/>
        <v>121</v>
      </c>
    </row>
    <row r="6141" spans="74:74" x14ac:dyDescent="0.3">
      <c r="BV6141" s="32">
        <f t="shared" ca="1" si="95"/>
        <v>121</v>
      </c>
    </row>
    <row r="6142" spans="74:74" x14ac:dyDescent="0.3">
      <c r="BV6142" s="32">
        <f t="shared" ca="1" si="95"/>
        <v>121</v>
      </c>
    </row>
    <row r="6143" spans="74:74" x14ac:dyDescent="0.3">
      <c r="BV6143" s="32">
        <f t="shared" ca="1" si="95"/>
        <v>121</v>
      </c>
    </row>
    <row r="6144" spans="74:74" x14ac:dyDescent="0.3">
      <c r="BV6144" s="32">
        <f t="shared" ca="1" si="95"/>
        <v>121</v>
      </c>
    </row>
    <row r="6145" spans="74:74" x14ac:dyDescent="0.3">
      <c r="BV6145" s="32">
        <f t="shared" ca="1" si="95"/>
        <v>121</v>
      </c>
    </row>
    <row r="6146" spans="74:74" x14ac:dyDescent="0.3">
      <c r="BV6146" s="32">
        <f t="shared" ca="1" si="95"/>
        <v>121</v>
      </c>
    </row>
    <row r="6147" spans="74:74" x14ac:dyDescent="0.3">
      <c r="BV6147" s="32">
        <f t="shared" ca="1" si="95"/>
        <v>121</v>
      </c>
    </row>
    <row r="6148" spans="74:74" x14ac:dyDescent="0.3">
      <c r="BV6148" s="32">
        <f t="shared" ca="1" si="95"/>
        <v>121</v>
      </c>
    </row>
    <row r="6149" spans="74:74" x14ac:dyDescent="0.3">
      <c r="BV6149" s="32">
        <f t="shared" ca="1" si="95"/>
        <v>121</v>
      </c>
    </row>
    <row r="6150" spans="74:74" x14ac:dyDescent="0.3">
      <c r="BV6150" s="32">
        <f t="shared" ca="1" si="95"/>
        <v>121</v>
      </c>
    </row>
    <row r="6151" spans="74:74" x14ac:dyDescent="0.3">
      <c r="BV6151" s="32">
        <f t="shared" ca="1" si="95"/>
        <v>121</v>
      </c>
    </row>
    <row r="6152" spans="74:74" x14ac:dyDescent="0.3">
      <c r="BV6152" s="32">
        <f t="shared" ca="1" si="95"/>
        <v>121</v>
      </c>
    </row>
    <row r="6153" spans="74:74" x14ac:dyDescent="0.3">
      <c r="BV6153" s="32">
        <f t="shared" ca="1" si="95"/>
        <v>121</v>
      </c>
    </row>
    <row r="6154" spans="74:74" x14ac:dyDescent="0.3">
      <c r="BV6154" s="32">
        <f t="shared" ca="1" si="95"/>
        <v>121</v>
      </c>
    </row>
    <row r="6155" spans="74:74" x14ac:dyDescent="0.3">
      <c r="BV6155" s="32">
        <f t="shared" ca="1" si="95"/>
        <v>121</v>
      </c>
    </row>
    <row r="6156" spans="74:74" x14ac:dyDescent="0.3">
      <c r="BV6156" s="32">
        <f t="shared" ca="1" si="95"/>
        <v>121</v>
      </c>
    </row>
    <row r="6157" spans="74:74" x14ac:dyDescent="0.3">
      <c r="BV6157" s="32">
        <f t="shared" ref="BV6157:BV6220" ca="1" si="96">INT((TODAY()-$I6157)/365)</f>
        <v>121</v>
      </c>
    </row>
    <row r="6158" spans="74:74" x14ac:dyDescent="0.3">
      <c r="BV6158" s="32">
        <f t="shared" ca="1" si="96"/>
        <v>121</v>
      </c>
    </row>
    <row r="6159" spans="74:74" x14ac:dyDescent="0.3">
      <c r="BV6159" s="32">
        <f t="shared" ca="1" si="96"/>
        <v>121</v>
      </c>
    </row>
    <row r="6160" spans="74:74" x14ac:dyDescent="0.3">
      <c r="BV6160" s="32">
        <f t="shared" ca="1" si="96"/>
        <v>121</v>
      </c>
    </row>
    <row r="6161" spans="74:74" x14ac:dyDescent="0.3">
      <c r="BV6161" s="32">
        <f t="shared" ca="1" si="96"/>
        <v>121</v>
      </c>
    </row>
    <row r="6162" spans="74:74" x14ac:dyDescent="0.3">
      <c r="BV6162" s="32">
        <f t="shared" ca="1" si="96"/>
        <v>121</v>
      </c>
    </row>
    <row r="6163" spans="74:74" x14ac:dyDescent="0.3">
      <c r="BV6163" s="32">
        <f t="shared" ca="1" si="96"/>
        <v>121</v>
      </c>
    </row>
    <row r="6164" spans="74:74" x14ac:dyDescent="0.3">
      <c r="BV6164" s="32">
        <f t="shared" ca="1" si="96"/>
        <v>121</v>
      </c>
    </row>
    <row r="6165" spans="74:74" x14ac:dyDescent="0.3">
      <c r="BV6165" s="32">
        <f t="shared" ca="1" si="96"/>
        <v>121</v>
      </c>
    </row>
    <row r="6166" spans="74:74" x14ac:dyDescent="0.3">
      <c r="BV6166" s="32">
        <f t="shared" ca="1" si="96"/>
        <v>121</v>
      </c>
    </row>
    <row r="6167" spans="74:74" x14ac:dyDescent="0.3">
      <c r="BV6167" s="32">
        <f t="shared" ca="1" si="96"/>
        <v>121</v>
      </c>
    </row>
    <row r="6168" spans="74:74" x14ac:dyDescent="0.3">
      <c r="BV6168" s="32">
        <f t="shared" ca="1" si="96"/>
        <v>121</v>
      </c>
    </row>
    <row r="6169" spans="74:74" x14ac:dyDescent="0.3">
      <c r="BV6169" s="32">
        <f t="shared" ca="1" si="96"/>
        <v>121</v>
      </c>
    </row>
    <row r="6170" spans="74:74" x14ac:dyDescent="0.3">
      <c r="BV6170" s="32">
        <f t="shared" ca="1" si="96"/>
        <v>121</v>
      </c>
    </row>
    <row r="6171" spans="74:74" x14ac:dyDescent="0.3">
      <c r="BV6171" s="32">
        <f t="shared" ca="1" si="96"/>
        <v>121</v>
      </c>
    </row>
    <row r="6172" spans="74:74" x14ac:dyDescent="0.3">
      <c r="BV6172" s="32">
        <f t="shared" ca="1" si="96"/>
        <v>121</v>
      </c>
    </row>
    <row r="6173" spans="74:74" x14ac:dyDescent="0.3">
      <c r="BV6173" s="32">
        <f t="shared" ca="1" si="96"/>
        <v>121</v>
      </c>
    </row>
    <row r="6174" spans="74:74" x14ac:dyDescent="0.3">
      <c r="BV6174" s="32">
        <f t="shared" ca="1" si="96"/>
        <v>121</v>
      </c>
    </row>
    <row r="6175" spans="74:74" x14ac:dyDescent="0.3">
      <c r="BV6175" s="32">
        <f t="shared" ca="1" si="96"/>
        <v>121</v>
      </c>
    </row>
    <row r="6176" spans="74:74" x14ac:dyDescent="0.3">
      <c r="BV6176" s="32">
        <f t="shared" ca="1" si="96"/>
        <v>121</v>
      </c>
    </row>
    <row r="6177" spans="74:74" x14ac:dyDescent="0.3">
      <c r="BV6177" s="32">
        <f t="shared" ca="1" si="96"/>
        <v>121</v>
      </c>
    </row>
    <row r="6178" spans="74:74" x14ac:dyDescent="0.3">
      <c r="BV6178" s="32">
        <f t="shared" ca="1" si="96"/>
        <v>121</v>
      </c>
    </row>
    <row r="6179" spans="74:74" x14ac:dyDescent="0.3">
      <c r="BV6179" s="32">
        <f t="shared" ca="1" si="96"/>
        <v>121</v>
      </c>
    </row>
    <row r="6180" spans="74:74" x14ac:dyDescent="0.3">
      <c r="BV6180" s="32">
        <f t="shared" ca="1" si="96"/>
        <v>121</v>
      </c>
    </row>
    <row r="6181" spans="74:74" x14ac:dyDescent="0.3">
      <c r="BV6181" s="32">
        <f t="shared" ca="1" si="96"/>
        <v>121</v>
      </c>
    </row>
    <row r="6182" spans="74:74" x14ac:dyDescent="0.3">
      <c r="BV6182" s="32">
        <f t="shared" ca="1" si="96"/>
        <v>121</v>
      </c>
    </row>
    <row r="6183" spans="74:74" x14ac:dyDescent="0.3">
      <c r="BV6183" s="32">
        <f t="shared" ca="1" si="96"/>
        <v>121</v>
      </c>
    </row>
    <row r="6184" spans="74:74" x14ac:dyDescent="0.3">
      <c r="BV6184" s="32">
        <f t="shared" ca="1" si="96"/>
        <v>121</v>
      </c>
    </row>
    <row r="6185" spans="74:74" x14ac:dyDescent="0.3">
      <c r="BV6185" s="32">
        <f t="shared" ca="1" si="96"/>
        <v>121</v>
      </c>
    </row>
    <row r="6186" spans="74:74" x14ac:dyDescent="0.3">
      <c r="BV6186" s="32">
        <f t="shared" ca="1" si="96"/>
        <v>121</v>
      </c>
    </row>
    <row r="6187" spans="74:74" x14ac:dyDescent="0.3">
      <c r="BV6187" s="32">
        <f t="shared" ca="1" si="96"/>
        <v>121</v>
      </c>
    </row>
    <row r="6188" spans="74:74" x14ac:dyDescent="0.3">
      <c r="BV6188" s="32">
        <f t="shared" ca="1" si="96"/>
        <v>121</v>
      </c>
    </row>
    <row r="6189" spans="74:74" x14ac:dyDescent="0.3">
      <c r="BV6189" s="32">
        <f t="shared" ca="1" si="96"/>
        <v>121</v>
      </c>
    </row>
    <row r="6190" spans="74:74" x14ac:dyDescent="0.3">
      <c r="BV6190" s="32">
        <f t="shared" ca="1" si="96"/>
        <v>121</v>
      </c>
    </row>
    <row r="6191" spans="74:74" x14ac:dyDescent="0.3">
      <c r="BV6191" s="32">
        <f t="shared" ca="1" si="96"/>
        <v>121</v>
      </c>
    </row>
    <row r="6192" spans="74:74" x14ac:dyDescent="0.3">
      <c r="BV6192" s="32">
        <f t="shared" ca="1" si="96"/>
        <v>121</v>
      </c>
    </row>
    <row r="6193" spans="74:74" x14ac:dyDescent="0.3">
      <c r="BV6193" s="32">
        <f t="shared" ca="1" si="96"/>
        <v>121</v>
      </c>
    </row>
    <row r="6194" spans="74:74" x14ac:dyDescent="0.3">
      <c r="BV6194" s="32">
        <f t="shared" ca="1" si="96"/>
        <v>121</v>
      </c>
    </row>
    <row r="6195" spans="74:74" x14ac:dyDescent="0.3">
      <c r="BV6195" s="32">
        <f t="shared" ca="1" si="96"/>
        <v>121</v>
      </c>
    </row>
    <row r="6196" spans="74:74" x14ac:dyDescent="0.3">
      <c r="BV6196" s="32">
        <f t="shared" ca="1" si="96"/>
        <v>121</v>
      </c>
    </row>
    <row r="6197" spans="74:74" x14ac:dyDescent="0.3">
      <c r="BV6197" s="32">
        <f t="shared" ca="1" si="96"/>
        <v>121</v>
      </c>
    </row>
    <row r="6198" spans="74:74" x14ac:dyDescent="0.3">
      <c r="BV6198" s="32">
        <f t="shared" ca="1" si="96"/>
        <v>121</v>
      </c>
    </row>
    <row r="6199" spans="74:74" x14ac:dyDescent="0.3">
      <c r="BV6199" s="32">
        <f t="shared" ca="1" si="96"/>
        <v>121</v>
      </c>
    </row>
    <row r="6200" spans="74:74" x14ac:dyDescent="0.3">
      <c r="BV6200" s="32">
        <f t="shared" ca="1" si="96"/>
        <v>121</v>
      </c>
    </row>
    <row r="6201" spans="74:74" x14ac:dyDescent="0.3">
      <c r="BV6201" s="32">
        <f t="shared" ca="1" si="96"/>
        <v>121</v>
      </c>
    </row>
    <row r="6202" spans="74:74" x14ac:dyDescent="0.3">
      <c r="BV6202" s="32">
        <f t="shared" ca="1" si="96"/>
        <v>121</v>
      </c>
    </row>
    <row r="6203" spans="74:74" x14ac:dyDescent="0.3">
      <c r="BV6203" s="32">
        <f t="shared" ca="1" si="96"/>
        <v>121</v>
      </c>
    </row>
    <row r="6204" spans="74:74" x14ac:dyDescent="0.3">
      <c r="BV6204" s="32">
        <f t="shared" ca="1" si="96"/>
        <v>121</v>
      </c>
    </row>
    <row r="6205" spans="74:74" x14ac:dyDescent="0.3">
      <c r="BV6205" s="32">
        <f t="shared" ca="1" si="96"/>
        <v>121</v>
      </c>
    </row>
    <row r="6206" spans="74:74" x14ac:dyDescent="0.3">
      <c r="BV6206" s="32">
        <f t="shared" ca="1" si="96"/>
        <v>121</v>
      </c>
    </row>
    <row r="6207" spans="74:74" x14ac:dyDescent="0.3">
      <c r="BV6207" s="32">
        <f t="shared" ca="1" si="96"/>
        <v>121</v>
      </c>
    </row>
    <row r="6208" spans="74:74" x14ac:dyDescent="0.3">
      <c r="BV6208" s="32">
        <f t="shared" ca="1" si="96"/>
        <v>121</v>
      </c>
    </row>
    <row r="6209" spans="74:74" x14ac:dyDescent="0.3">
      <c r="BV6209" s="32">
        <f t="shared" ca="1" si="96"/>
        <v>121</v>
      </c>
    </row>
    <row r="6210" spans="74:74" x14ac:dyDescent="0.3">
      <c r="BV6210" s="32">
        <f t="shared" ca="1" si="96"/>
        <v>121</v>
      </c>
    </row>
    <row r="6211" spans="74:74" x14ac:dyDescent="0.3">
      <c r="BV6211" s="32">
        <f t="shared" ca="1" si="96"/>
        <v>121</v>
      </c>
    </row>
    <row r="6212" spans="74:74" x14ac:dyDescent="0.3">
      <c r="BV6212" s="32">
        <f t="shared" ca="1" si="96"/>
        <v>121</v>
      </c>
    </row>
    <row r="6213" spans="74:74" x14ac:dyDescent="0.3">
      <c r="BV6213" s="32">
        <f t="shared" ca="1" si="96"/>
        <v>121</v>
      </c>
    </row>
    <row r="6214" spans="74:74" x14ac:dyDescent="0.3">
      <c r="BV6214" s="32">
        <f t="shared" ca="1" si="96"/>
        <v>121</v>
      </c>
    </row>
    <row r="6215" spans="74:74" x14ac:dyDescent="0.3">
      <c r="BV6215" s="32">
        <f t="shared" ca="1" si="96"/>
        <v>121</v>
      </c>
    </row>
    <row r="6216" spans="74:74" x14ac:dyDescent="0.3">
      <c r="BV6216" s="32">
        <f t="shared" ca="1" si="96"/>
        <v>121</v>
      </c>
    </row>
    <row r="6217" spans="74:74" x14ac:dyDescent="0.3">
      <c r="BV6217" s="32">
        <f t="shared" ca="1" si="96"/>
        <v>121</v>
      </c>
    </row>
    <row r="6218" spans="74:74" x14ac:dyDescent="0.3">
      <c r="BV6218" s="32">
        <f t="shared" ca="1" si="96"/>
        <v>121</v>
      </c>
    </row>
    <row r="6219" spans="74:74" x14ac:dyDescent="0.3">
      <c r="BV6219" s="32">
        <f t="shared" ca="1" si="96"/>
        <v>121</v>
      </c>
    </row>
    <row r="6220" spans="74:74" x14ac:dyDescent="0.3">
      <c r="BV6220" s="32">
        <f t="shared" ca="1" si="96"/>
        <v>121</v>
      </c>
    </row>
    <row r="6221" spans="74:74" x14ac:dyDescent="0.3">
      <c r="BV6221" s="32">
        <f t="shared" ref="BV6221:BV6284" ca="1" si="97">INT((TODAY()-$I6221)/365)</f>
        <v>121</v>
      </c>
    </row>
    <row r="6222" spans="74:74" x14ac:dyDescent="0.3">
      <c r="BV6222" s="32">
        <f t="shared" ca="1" si="97"/>
        <v>121</v>
      </c>
    </row>
    <row r="6223" spans="74:74" x14ac:dyDescent="0.3">
      <c r="BV6223" s="32">
        <f t="shared" ca="1" si="97"/>
        <v>121</v>
      </c>
    </row>
    <row r="6224" spans="74:74" x14ac:dyDescent="0.3">
      <c r="BV6224" s="32">
        <f t="shared" ca="1" si="97"/>
        <v>121</v>
      </c>
    </row>
    <row r="6225" spans="74:74" x14ac:dyDescent="0.3">
      <c r="BV6225" s="32">
        <f t="shared" ca="1" si="97"/>
        <v>121</v>
      </c>
    </row>
    <row r="6226" spans="74:74" x14ac:dyDescent="0.3">
      <c r="BV6226" s="32">
        <f t="shared" ca="1" si="97"/>
        <v>121</v>
      </c>
    </row>
    <row r="6227" spans="74:74" x14ac:dyDescent="0.3">
      <c r="BV6227" s="32">
        <f t="shared" ca="1" si="97"/>
        <v>121</v>
      </c>
    </row>
    <row r="6228" spans="74:74" x14ac:dyDescent="0.3">
      <c r="BV6228" s="32">
        <f t="shared" ca="1" si="97"/>
        <v>121</v>
      </c>
    </row>
    <row r="6229" spans="74:74" x14ac:dyDescent="0.3">
      <c r="BV6229" s="32">
        <f t="shared" ca="1" si="97"/>
        <v>121</v>
      </c>
    </row>
    <row r="6230" spans="74:74" x14ac:dyDescent="0.3">
      <c r="BV6230" s="32">
        <f t="shared" ca="1" si="97"/>
        <v>121</v>
      </c>
    </row>
    <row r="6231" spans="74:74" x14ac:dyDescent="0.3">
      <c r="BV6231" s="32">
        <f t="shared" ca="1" si="97"/>
        <v>121</v>
      </c>
    </row>
    <row r="6232" spans="74:74" x14ac:dyDescent="0.3">
      <c r="BV6232" s="32">
        <f t="shared" ca="1" si="97"/>
        <v>121</v>
      </c>
    </row>
    <row r="6233" spans="74:74" x14ac:dyDescent="0.3">
      <c r="BV6233" s="32">
        <f t="shared" ca="1" si="97"/>
        <v>121</v>
      </c>
    </row>
    <row r="6234" spans="74:74" x14ac:dyDescent="0.3">
      <c r="BV6234" s="32">
        <f t="shared" ca="1" si="97"/>
        <v>121</v>
      </c>
    </row>
    <row r="6235" spans="74:74" x14ac:dyDescent="0.3">
      <c r="BV6235" s="32">
        <f t="shared" ca="1" si="97"/>
        <v>121</v>
      </c>
    </row>
    <row r="6236" spans="74:74" x14ac:dyDescent="0.3">
      <c r="BV6236" s="32">
        <f t="shared" ca="1" si="97"/>
        <v>121</v>
      </c>
    </row>
    <row r="6237" spans="74:74" x14ac:dyDescent="0.3">
      <c r="BV6237" s="32">
        <f t="shared" ca="1" si="97"/>
        <v>121</v>
      </c>
    </row>
    <row r="6238" spans="74:74" x14ac:dyDescent="0.3">
      <c r="BV6238" s="32">
        <f t="shared" ca="1" si="97"/>
        <v>121</v>
      </c>
    </row>
    <row r="6239" spans="74:74" x14ac:dyDescent="0.3">
      <c r="BV6239" s="32">
        <f t="shared" ca="1" si="97"/>
        <v>121</v>
      </c>
    </row>
    <row r="6240" spans="74:74" x14ac:dyDescent="0.3">
      <c r="BV6240" s="32">
        <f t="shared" ca="1" si="97"/>
        <v>121</v>
      </c>
    </row>
    <row r="6241" spans="74:74" x14ac:dyDescent="0.3">
      <c r="BV6241" s="32">
        <f t="shared" ca="1" si="97"/>
        <v>121</v>
      </c>
    </row>
    <row r="6242" spans="74:74" x14ac:dyDescent="0.3">
      <c r="BV6242" s="32">
        <f t="shared" ca="1" si="97"/>
        <v>121</v>
      </c>
    </row>
    <row r="6243" spans="74:74" x14ac:dyDescent="0.3">
      <c r="BV6243" s="32">
        <f t="shared" ca="1" si="97"/>
        <v>121</v>
      </c>
    </row>
    <row r="6244" spans="74:74" x14ac:dyDescent="0.3">
      <c r="BV6244" s="32">
        <f t="shared" ca="1" si="97"/>
        <v>121</v>
      </c>
    </row>
    <row r="6245" spans="74:74" x14ac:dyDescent="0.3">
      <c r="BV6245" s="32">
        <f t="shared" ca="1" si="97"/>
        <v>121</v>
      </c>
    </row>
    <row r="6246" spans="74:74" x14ac:dyDescent="0.3">
      <c r="BV6246" s="32">
        <f t="shared" ca="1" si="97"/>
        <v>121</v>
      </c>
    </row>
    <row r="6247" spans="74:74" x14ac:dyDescent="0.3">
      <c r="BV6247" s="32">
        <f t="shared" ca="1" si="97"/>
        <v>121</v>
      </c>
    </row>
    <row r="6248" spans="74:74" x14ac:dyDescent="0.3">
      <c r="BV6248" s="32">
        <f t="shared" ca="1" si="97"/>
        <v>121</v>
      </c>
    </row>
    <row r="6249" spans="74:74" x14ac:dyDescent="0.3">
      <c r="BV6249" s="32">
        <f t="shared" ca="1" si="97"/>
        <v>121</v>
      </c>
    </row>
    <row r="6250" spans="74:74" x14ac:dyDescent="0.3">
      <c r="BV6250" s="32">
        <f t="shared" ca="1" si="97"/>
        <v>121</v>
      </c>
    </row>
    <row r="6251" spans="74:74" x14ac:dyDescent="0.3">
      <c r="BV6251" s="32">
        <f t="shared" ca="1" si="97"/>
        <v>121</v>
      </c>
    </row>
    <row r="6252" spans="74:74" x14ac:dyDescent="0.3">
      <c r="BV6252" s="32">
        <f t="shared" ca="1" si="97"/>
        <v>121</v>
      </c>
    </row>
    <row r="6253" spans="74:74" x14ac:dyDescent="0.3">
      <c r="BV6253" s="32">
        <f t="shared" ca="1" si="97"/>
        <v>121</v>
      </c>
    </row>
    <row r="6254" spans="74:74" x14ac:dyDescent="0.3">
      <c r="BV6254" s="32">
        <f t="shared" ca="1" si="97"/>
        <v>121</v>
      </c>
    </row>
    <row r="6255" spans="74:74" x14ac:dyDescent="0.3">
      <c r="BV6255" s="32">
        <f t="shared" ca="1" si="97"/>
        <v>121</v>
      </c>
    </row>
    <row r="6256" spans="74:74" x14ac:dyDescent="0.3">
      <c r="BV6256" s="32">
        <f t="shared" ca="1" si="97"/>
        <v>121</v>
      </c>
    </row>
    <row r="6257" spans="74:74" x14ac:dyDescent="0.3">
      <c r="BV6257" s="32">
        <f t="shared" ca="1" si="97"/>
        <v>121</v>
      </c>
    </row>
    <row r="6258" spans="74:74" x14ac:dyDescent="0.3">
      <c r="BV6258" s="32">
        <f t="shared" ca="1" si="97"/>
        <v>121</v>
      </c>
    </row>
    <row r="6259" spans="74:74" x14ac:dyDescent="0.3">
      <c r="BV6259" s="32">
        <f t="shared" ca="1" si="97"/>
        <v>121</v>
      </c>
    </row>
    <row r="6260" spans="74:74" x14ac:dyDescent="0.3">
      <c r="BV6260" s="32">
        <f t="shared" ca="1" si="97"/>
        <v>121</v>
      </c>
    </row>
    <row r="6261" spans="74:74" x14ac:dyDescent="0.3">
      <c r="BV6261" s="32">
        <f t="shared" ca="1" si="97"/>
        <v>121</v>
      </c>
    </row>
    <row r="6262" spans="74:74" x14ac:dyDescent="0.3">
      <c r="BV6262" s="32">
        <f t="shared" ca="1" si="97"/>
        <v>121</v>
      </c>
    </row>
    <row r="6263" spans="74:74" x14ac:dyDescent="0.3">
      <c r="BV6263" s="32">
        <f t="shared" ca="1" si="97"/>
        <v>121</v>
      </c>
    </row>
    <row r="6264" spans="74:74" x14ac:dyDescent="0.3">
      <c r="BV6264" s="32">
        <f t="shared" ca="1" si="97"/>
        <v>121</v>
      </c>
    </row>
    <row r="6265" spans="74:74" x14ac:dyDescent="0.3">
      <c r="BV6265" s="32">
        <f t="shared" ca="1" si="97"/>
        <v>121</v>
      </c>
    </row>
    <row r="6266" spans="74:74" x14ac:dyDescent="0.3">
      <c r="BV6266" s="32">
        <f t="shared" ca="1" si="97"/>
        <v>121</v>
      </c>
    </row>
    <row r="6267" spans="74:74" x14ac:dyDescent="0.3">
      <c r="BV6267" s="32">
        <f t="shared" ca="1" si="97"/>
        <v>121</v>
      </c>
    </row>
    <row r="6268" spans="74:74" x14ac:dyDescent="0.3">
      <c r="BV6268" s="32">
        <f t="shared" ca="1" si="97"/>
        <v>121</v>
      </c>
    </row>
    <row r="6269" spans="74:74" x14ac:dyDescent="0.3">
      <c r="BV6269" s="32">
        <f t="shared" ca="1" si="97"/>
        <v>121</v>
      </c>
    </row>
    <row r="6270" spans="74:74" x14ac:dyDescent="0.3">
      <c r="BV6270" s="32">
        <f t="shared" ca="1" si="97"/>
        <v>121</v>
      </c>
    </row>
    <row r="6271" spans="74:74" x14ac:dyDescent="0.3">
      <c r="BV6271" s="32">
        <f t="shared" ca="1" si="97"/>
        <v>121</v>
      </c>
    </row>
    <row r="6272" spans="74:74" x14ac:dyDescent="0.3">
      <c r="BV6272" s="32">
        <f t="shared" ca="1" si="97"/>
        <v>121</v>
      </c>
    </row>
    <row r="6273" spans="74:74" x14ac:dyDescent="0.3">
      <c r="BV6273" s="32">
        <f t="shared" ca="1" si="97"/>
        <v>121</v>
      </c>
    </row>
    <row r="6274" spans="74:74" x14ac:dyDescent="0.3">
      <c r="BV6274" s="32">
        <f t="shared" ca="1" si="97"/>
        <v>121</v>
      </c>
    </row>
    <row r="6275" spans="74:74" x14ac:dyDescent="0.3">
      <c r="BV6275" s="32">
        <f t="shared" ca="1" si="97"/>
        <v>121</v>
      </c>
    </row>
    <row r="6276" spans="74:74" x14ac:dyDescent="0.3">
      <c r="BV6276" s="32">
        <f t="shared" ca="1" si="97"/>
        <v>121</v>
      </c>
    </row>
    <row r="6277" spans="74:74" x14ac:dyDescent="0.3">
      <c r="BV6277" s="32">
        <f t="shared" ca="1" si="97"/>
        <v>121</v>
      </c>
    </row>
    <row r="6278" spans="74:74" x14ac:dyDescent="0.3">
      <c r="BV6278" s="32">
        <f t="shared" ca="1" si="97"/>
        <v>121</v>
      </c>
    </row>
    <row r="6279" spans="74:74" x14ac:dyDescent="0.3">
      <c r="BV6279" s="32">
        <f t="shared" ca="1" si="97"/>
        <v>121</v>
      </c>
    </row>
    <row r="6280" spans="74:74" x14ac:dyDescent="0.3">
      <c r="BV6280" s="32">
        <f t="shared" ca="1" si="97"/>
        <v>121</v>
      </c>
    </row>
    <row r="6281" spans="74:74" x14ac:dyDescent="0.3">
      <c r="BV6281" s="32">
        <f t="shared" ca="1" si="97"/>
        <v>121</v>
      </c>
    </row>
    <row r="6282" spans="74:74" x14ac:dyDescent="0.3">
      <c r="BV6282" s="32">
        <f t="shared" ca="1" si="97"/>
        <v>121</v>
      </c>
    </row>
    <row r="6283" spans="74:74" x14ac:dyDescent="0.3">
      <c r="BV6283" s="32">
        <f t="shared" ca="1" si="97"/>
        <v>121</v>
      </c>
    </row>
    <row r="6284" spans="74:74" x14ac:dyDescent="0.3">
      <c r="BV6284" s="32">
        <f t="shared" ca="1" si="97"/>
        <v>121</v>
      </c>
    </row>
    <row r="6285" spans="74:74" x14ac:dyDescent="0.3">
      <c r="BV6285" s="32">
        <f t="shared" ref="BV6285:BV6348" ca="1" si="98">INT((TODAY()-$I6285)/365)</f>
        <v>121</v>
      </c>
    </row>
    <row r="6286" spans="74:74" x14ac:dyDescent="0.3">
      <c r="BV6286" s="32">
        <f t="shared" ca="1" si="98"/>
        <v>121</v>
      </c>
    </row>
    <row r="6287" spans="74:74" x14ac:dyDescent="0.3">
      <c r="BV6287" s="32">
        <f t="shared" ca="1" si="98"/>
        <v>121</v>
      </c>
    </row>
    <row r="6288" spans="74:74" x14ac:dyDescent="0.3">
      <c r="BV6288" s="32">
        <f t="shared" ca="1" si="98"/>
        <v>121</v>
      </c>
    </row>
    <row r="6289" spans="74:74" x14ac:dyDescent="0.3">
      <c r="BV6289" s="32">
        <f t="shared" ca="1" si="98"/>
        <v>121</v>
      </c>
    </row>
    <row r="6290" spans="74:74" x14ac:dyDescent="0.3">
      <c r="BV6290" s="32">
        <f t="shared" ca="1" si="98"/>
        <v>121</v>
      </c>
    </row>
    <row r="6291" spans="74:74" x14ac:dyDescent="0.3">
      <c r="BV6291" s="32">
        <f t="shared" ca="1" si="98"/>
        <v>121</v>
      </c>
    </row>
    <row r="6292" spans="74:74" x14ac:dyDescent="0.3">
      <c r="BV6292" s="32">
        <f t="shared" ca="1" si="98"/>
        <v>121</v>
      </c>
    </row>
    <row r="6293" spans="74:74" x14ac:dyDescent="0.3">
      <c r="BV6293" s="32">
        <f t="shared" ca="1" si="98"/>
        <v>121</v>
      </c>
    </row>
    <row r="6294" spans="74:74" x14ac:dyDescent="0.3">
      <c r="BV6294" s="32">
        <f t="shared" ca="1" si="98"/>
        <v>121</v>
      </c>
    </row>
    <row r="6295" spans="74:74" x14ac:dyDescent="0.3">
      <c r="BV6295" s="32">
        <f t="shared" ca="1" si="98"/>
        <v>121</v>
      </c>
    </row>
    <row r="6296" spans="74:74" x14ac:dyDescent="0.3">
      <c r="BV6296" s="32">
        <f t="shared" ca="1" si="98"/>
        <v>121</v>
      </c>
    </row>
    <row r="6297" spans="74:74" x14ac:dyDescent="0.3">
      <c r="BV6297" s="32">
        <f t="shared" ca="1" si="98"/>
        <v>121</v>
      </c>
    </row>
    <row r="6298" spans="74:74" x14ac:dyDescent="0.3">
      <c r="BV6298" s="32">
        <f t="shared" ca="1" si="98"/>
        <v>121</v>
      </c>
    </row>
    <row r="6299" spans="74:74" x14ac:dyDescent="0.3">
      <c r="BV6299" s="32">
        <f t="shared" ca="1" si="98"/>
        <v>121</v>
      </c>
    </row>
    <row r="6300" spans="74:74" x14ac:dyDescent="0.3">
      <c r="BV6300" s="32">
        <f t="shared" ca="1" si="98"/>
        <v>121</v>
      </c>
    </row>
    <row r="6301" spans="74:74" x14ac:dyDescent="0.3">
      <c r="BV6301" s="32">
        <f t="shared" ca="1" si="98"/>
        <v>121</v>
      </c>
    </row>
    <row r="6302" spans="74:74" x14ac:dyDescent="0.3">
      <c r="BV6302" s="32">
        <f t="shared" ca="1" si="98"/>
        <v>121</v>
      </c>
    </row>
    <row r="6303" spans="74:74" x14ac:dyDescent="0.3">
      <c r="BV6303" s="32">
        <f t="shared" ca="1" si="98"/>
        <v>121</v>
      </c>
    </row>
    <row r="6304" spans="74:74" x14ac:dyDescent="0.3">
      <c r="BV6304" s="32">
        <f t="shared" ca="1" si="98"/>
        <v>121</v>
      </c>
    </row>
    <row r="6305" spans="74:74" x14ac:dyDescent="0.3">
      <c r="BV6305" s="32">
        <f t="shared" ca="1" si="98"/>
        <v>121</v>
      </c>
    </row>
    <row r="6306" spans="74:74" x14ac:dyDescent="0.3">
      <c r="BV6306" s="32">
        <f t="shared" ca="1" si="98"/>
        <v>121</v>
      </c>
    </row>
    <row r="6307" spans="74:74" x14ac:dyDescent="0.3">
      <c r="BV6307" s="32">
        <f t="shared" ca="1" si="98"/>
        <v>121</v>
      </c>
    </row>
    <row r="6308" spans="74:74" x14ac:dyDescent="0.3">
      <c r="BV6308" s="32">
        <f t="shared" ca="1" si="98"/>
        <v>121</v>
      </c>
    </row>
    <row r="6309" spans="74:74" x14ac:dyDescent="0.3">
      <c r="BV6309" s="32">
        <f t="shared" ca="1" si="98"/>
        <v>121</v>
      </c>
    </row>
    <row r="6310" spans="74:74" x14ac:dyDescent="0.3">
      <c r="BV6310" s="32">
        <f t="shared" ca="1" si="98"/>
        <v>121</v>
      </c>
    </row>
    <row r="6311" spans="74:74" x14ac:dyDescent="0.3">
      <c r="BV6311" s="32">
        <f t="shared" ca="1" si="98"/>
        <v>121</v>
      </c>
    </row>
    <row r="6312" spans="74:74" x14ac:dyDescent="0.3">
      <c r="BV6312" s="32">
        <f t="shared" ca="1" si="98"/>
        <v>121</v>
      </c>
    </row>
    <row r="6313" spans="74:74" x14ac:dyDescent="0.3">
      <c r="BV6313" s="32">
        <f t="shared" ca="1" si="98"/>
        <v>121</v>
      </c>
    </row>
    <row r="6314" spans="74:74" x14ac:dyDescent="0.3">
      <c r="BV6314" s="32">
        <f t="shared" ca="1" si="98"/>
        <v>121</v>
      </c>
    </row>
    <row r="6315" spans="74:74" x14ac:dyDescent="0.3">
      <c r="BV6315" s="32">
        <f t="shared" ca="1" si="98"/>
        <v>121</v>
      </c>
    </row>
    <row r="6316" spans="74:74" x14ac:dyDescent="0.3">
      <c r="BV6316" s="32">
        <f t="shared" ca="1" si="98"/>
        <v>121</v>
      </c>
    </row>
    <row r="6317" spans="74:74" x14ac:dyDescent="0.3">
      <c r="BV6317" s="32">
        <f t="shared" ca="1" si="98"/>
        <v>121</v>
      </c>
    </row>
    <row r="6318" spans="74:74" x14ac:dyDescent="0.3">
      <c r="BV6318" s="32">
        <f t="shared" ca="1" si="98"/>
        <v>121</v>
      </c>
    </row>
    <row r="6319" spans="74:74" x14ac:dyDescent="0.3">
      <c r="BV6319" s="32">
        <f t="shared" ca="1" si="98"/>
        <v>121</v>
      </c>
    </row>
    <row r="6320" spans="74:74" x14ac:dyDescent="0.3">
      <c r="BV6320" s="32">
        <f t="shared" ca="1" si="98"/>
        <v>121</v>
      </c>
    </row>
    <row r="6321" spans="74:74" x14ac:dyDescent="0.3">
      <c r="BV6321" s="32">
        <f t="shared" ca="1" si="98"/>
        <v>121</v>
      </c>
    </row>
    <row r="6322" spans="74:74" x14ac:dyDescent="0.3">
      <c r="BV6322" s="32">
        <f t="shared" ca="1" si="98"/>
        <v>121</v>
      </c>
    </row>
    <row r="6323" spans="74:74" x14ac:dyDescent="0.3">
      <c r="BV6323" s="32">
        <f t="shared" ca="1" si="98"/>
        <v>121</v>
      </c>
    </row>
    <row r="6324" spans="74:74" x14ac:dyDescent="0.3">
      <c r="BV6324" s="32">
        <f t="shared" ca="1" si="98"/>
        <v>121</v>
      </c>
    </row>
    <row r="6325" spans="74:74" x14ac:dyDescent="0.3">
      <c r="BV6325" s="32">
        <f t="shared" ca="1" si="98"/>
        <v>121</v>
      </c>
    </row>
    <row r="6326" spans="74:74" x14ac:dyDescent="0.3">
      <c r="BV6326" s="32">
        <f t="shared" ca="1" si="98"/>
        <v>121</v>
      </c>
    </row>
    <row r="6327" spans="74:74" x14ac:dyDescent="0.3">
      <c r="BV6327" s="32">
        <f t="shared" ca="1" si="98"/>
        <v>121</v>
      </c>
    </row>
    <row r="6328" spans="74:74" x14ac:dyDescent="0.3">
      <c r="BV6328" s="32">
        <f t="shared" ca="1" si="98"/>
        <v>121</v>
      </c>
    </row>
    <row r="6329" spans="74:74" x14ac:dyDescent="0.3">
      <c r="BV6329" s="32">
        <f t="shared" ca="1" si="98"/>
        <v>121</v>
      </c>
    </row>
    <row r="6330" spans="74:74" x14ac:dyDescent="0.3">
      <c r="BV6330" s="32">
        <f t="shared" ca="1" si="98"/>
        <v>121</v>
      </c>
    </row>
    <row r="6331" spans="74:74" x14ac:dyDescent="0.3">
      <c r="BV6331" s="32">
        <f t="shared" ca="1" si="98"/>
        <v>121</v>
      </c>
    </row>
    <row r="6332" spans="74:74" x14ac:dyDescent="0.3">
      <c r="BV6332" s="32">
        <f t="shared" ca="1" si="98"/>
        <v>121</v>
      </c>
    </row>
    <row r="6333" spans="74:74" x14ac:dyDescent="0.3">
      <c r="BV6333" s="32">
        <f t="shared" ca="1" si="98"/>
        <v>121</v>
      </c>
    </row>
    <row r="6334" spans="74:74" x14ac:dyDescent="0.3">
      <c r="BV6334" s="32">
        <f t="shared" ca="1" si="98"/>
        <v>121</v>
      </c>
    </row>
    <row r="6335" spans="74:74" x14ac:dyDescent="0.3">
      <c r="BV6335" s="32">
        <f t="shared" ca="1" si="98"/>
        <v>121</v>
      </c>
    </row>
    <row r="6336" spans="74:74" x14ac:dyDescent="0.3">
      <c r="BV6336" s="32">
        <f t="shared" ca="1" si="98"/>
        <v>121</v>
      </c>
    </row>
    <row r="6337" spans="74:74" x14ac:dyDescent="0.3">
      <c r="BV6337" s="32">
        <f t="shared" ca="1" si="98"/>
        <v>121</v>
      </c>
    </row>
    <row r="6338" spans="74:74" x14ac:dyDescent="0.3">
      <c r="BV6338" s="32">
        <f t="shared" ca="1" si="98"/>
        <v>121</v>
      </c>
    </row>
    <row r="6339" spans="74:74" x14ac:dyDescent="0.3">
      <c r="BV6339" s="32">
        <f t="shared" ca="1" si="98"/>
        <v>121</v>
      </c>
    </row>
    <row r="6340" spans="74:74" x14ac:dyDescent="0.3">
      <c r="BV6340" s="32">
        <f t="shared" ca="1" si="98"/>
        <v>121</v>
      </c>
    </row>
    <row r="6341" spans="74:74" x14ac:dyDescent="0.3">
      <c r="BV6341" s="32">
        <f t="shared" ca="1" si="98"/>
        <v>121</v>
      </c>
    </row>
    <row r="6342" spans="74:74" x14ac:dyDescent="0.3">
      <c r="BV6342" s="32">
        <f t="shared" ca="1" si="98"/>
        <v>121</v>
      </c>
    </row>
    <row r="6343" spans="74:74" x14ac:dyDescent="0.3">
      <c r="BV6343" s="32">
        <f t="shared" ca="1" si="98"/>
        <v>121</v>
      </c>
    </row>
    <row r="6344" spans="74:74" x14ac:dyDescent="0.3">
      <c r="BV6344" s="32">
        <f t="shared" ca="1" si="98"/>
        <v>121</v>
      </c>
    </row>
    <row r="6345" spans="74:74" x14ac:dyDescent="0.3">
      <c r="BV6345" s="32">
        <f t="shared" ca="1" si="98"/>
        <v>121</v>
      </c>
    </row>
    <row r="6346" spans="74:74" x14ac:dyDescent="0.3">
      <c r="BV6346" s="32">
        <f t="shared" ca="1" si="98"/>
        <v>121</v>
      </c>
    </row>
    <row r="6347" spans="74:74" x14ac:dyDescent="0.3">
      <c r="BV6347" s="32">
        <f t="shared" ca="1" si="98"/>
        <v>121</v>
      </c>
    </row>
    <row r="6348" spans="74:74" x14ac:dyDescent="0.3">
      <c r="BV6348" s="32">
        <f t="shared" ca="1" si="98"/>
        <v>121</v>
      </c>
    </row>
    <row r="6349" spans="74:74" x14ac:dyDescent="0.3">
      <c r="BV6349" s="32">
        <f t="shared" ref="BV6349:BV6412" ca="1" si="99">INT((TODAY()-$I6349)/365)</f>
        <v>121</v>
      </c>
    </row>
    <row r="6350" spans="74:74" x14ac:dyDescent="0.3">
      <c r="BV6350" s="32">
        <f t="shared" ca="1" si="99"/>
        <v>121</v>
      </c>
    </row>
    <row r="6351" spans="74:74" x14ac:dyDescent="0.3">
      <c r="BV6351" s="32">
        <f t="shared" ca="1" si="99"/>
        <v>121</v>
      </c>
    </row>
    <row r="6352" spans="74:74" x14ac:dyDescent="0.3">
      <c r="BV6352" s="32">
        <f t="shared" ca="1" si="99"/>
        <v>121</v>
      </c>
    </row>
    <row r="6353" spans="74:74" x14ac:dyDescent="0.3">
      <c r="BV6353" s="32">
        <f t="shared" ca="1" si="99"/>
        <v>121</v>
      </c>
    </row>
    <row r="6354" spans="74:74" x14ac:dyDescent="0.3">
      <c r="BV6354" s="32">
        <f t="shared" ca="1" si="99"/>
        <v>121</v>
      </c>
    </row>
    <row r="6355" spans="74:74" x14ac:dyDescent="0.3">
      <c r="BV6355" s="32">
        <f t="shared" ca="1" si="99"/>
        <v>121</v>
      </c>
    </row>
    <row r="6356" spans="74:74" x14ac:dyDescent="0.3">
      <c r="BV6356" s="32">
        <f t="shared" ca="1" si="99"/>
        <v>121</v>
      </c>
    </row>
    <row r="6357" spans="74:74" x14ac:dyDescent="0.3">
      <c r="BV6357" s="32">
        <f t="shared" ca="1" si="99"/>
        <v>121</v>
      </c>
    </row>
    <row r="6358" spans="74:74" x14ac:dyDescent="0.3">
      <c r="BV6358" s="32">
        <f t="shared" ca="1" si="99"/>
        <v>121</v>
      </c>
    </row>
    <row r="6359" spans="74:74" x14ac:dyDescent="0.3">
      <c r="BV6359" s="32">
        <f t="shared" ca="1" si="99"/>
        <v>121</v>
      </c>
    </row>
    <row r="6360" spans="74:74" x14ac:dyDescent="0.3">
      <c r="BV6360" s="32">
        <f t="shared" ca="1" si="99"/>
        <v>121</v>
      </c>
    </row>
    <row r="6361" spans="74:74" x14ac:dyDescent="0.3">
      <c r="BV6361" s="32">
        <f t="shared" ca="1" si="99"/>
        <v>121</v>
      </c>
    </row>
    <row r="6362" spans="74:74" x14ac:dyDescent="0.3">
      <c r="BV6362" s="32">
        <f t="shared" ca="1" si="99"/>
        <v>121</v>
      </c>
    </row>
    <row r="6363" spans="74:74" x14ac:dyDescent="0.3">
      <c r="BV6363" s="32">
        <f t="shared" ca="1" si="99"/>
        <v>121</v>
      </c>
    </row>
    <row r="6364" spans="74:74" x14ac:dyDescent="0.3">
      <c r="BV6364" s="32">
        <f t="shared" ca="1" si="99"/>
        <v>121</v>
      </c>
    </row>
    <row r="6365" spans="74:74" x14ac:dyDescent="0.3">
      <c r="BV6365" s="32">
        <f t="shared" ca="1" si="99"/>
        <v>121</v>
      </c>
    </row>
    <row r="6366" spans="74:74" x14ac:dyDescent="0.3">
      <c r="BV6366" s="32">
        <f t="shared" ca="1" si="99"/>
        <v>121</v>
      </c>
    </row>
    <row r="6367" spans="74:74" x14ac:dyDescent="0.3">
      <c r="BV6367" s="32">
        <f t="shared" ca="1" si="99"/>
        <v>121</v>
      </c>
    </row>
    <row r="6368" spans="74:74" x14ac:dyDescent="0.3">
      <c r="BV6368" s="32">
        <f t="shared" ca="1" si="99"/>
        <v>121</v>
      </c>
    </row>
    <row r="6369" spans="74:74" x14ac:dyDescent="0.3">
      <c r="BV6369" s="32">
        <f t="shared" ca="1" si="99"/>
        <v>121</v>
      </c>
    </row>
    <row r="6370" spans="74:74" x14ac:dyDescent="0.3">
      <c r="BV6370" s="32">
        <f t="shared" ca="1" si="99"/>
        <v>121</v>
      </c>
    </row>
    <row r="6371" spans="74:74" x14ac:dyDescent="0.3">
      <c r="BV6371" s="32">
        <f t="shared" ca="1" si="99"/>
        <v>121</v>
      </c>
    </row>
    <row r="6372" spans="74:74" x14ac:dyDescent="0.3">
      <c r="BV6372" s="32">
        <f t="shared" ca="1" si="99"/>
        <v>121</v>
      </c>
    </row>
    <row r="6373" spans="74:74" x14ac:dyDescent="0.3">
      <c r="BV6373" s="32">
        <f t="shared" ca="1" si="99"/>
        <v>121</v>
      </c>
    </row>
    <row r="6374" spans="74:74" x14ac:dyDescent="0.3">
      <c r="BV6374" s="32">
        <f t="shared" ca="1" si="99"/>
        <v>121</v>
      </c>
    </row>
    <row r="6375" spans="74:74" x14ac:dyDescent="0.3">
      <c r="BV6375" s="32">
        <f t="shared" ca="1" si="99"/>
        <v>121</v>
      </c>
    </row>
    <row r="6376" spans="74:74" x14ac:dyDescent="0.3">
      <c r="BV6376" s="32">
        <f t="shared" ca="1" si="99"/>
        <v>121</v>
      </c>
    </row>
    <row r="6377" spans="74:74" x14ac:dyDescent="0.3">
      <c r="BV6377" s="32">
        <f t="shared" ca="1" si="99"/>
        <v>121</v>
      </c>
    </row>
    <row r="6378" spans="74:74" x14ac:dyDescent="0.3">
      <c r="BV6378" s="32">
        <f t="shared" ca="1" si="99"/>
        <v>121</v>
      </c>
    </row>
    <row r="6379" spans="74:74" x14ac:dyDescent="0.3">
      <c r="BV6379" s="32">
        <f t="shared" ca="1" si="99"/>
        <v>121</v>
      </c>
    </row>
    <row r="6380" spans="74:74" x14ac:dyDescent="0.3">
      <c r="BV6380" s="32">
        <f t="shared" ca="1" si="99"/>
        <v>121</v>
      </c>
    </row>
    <row r="6381" spans="74:74" x14ac:dyDescent="0.3">
      <c r="BV6381" s="32">
        <f t="shared" ca="1" si="99"/>
        <v>121</v>
      </c>
    </row>
    <row r="6382" spans="74:74" x14ac:dyDescent="0.3">
      <c r="BV6382" s="32">
        <f t="shared" ca="1" si="99"/>
        <v>121</v>
      </c>
    </row>
    <row r="6383" spans="74:74" x14ac:dyDescent="0.3">
      <c r="BV6383" s="32">
        <f t="shared" ca="1" si="99"/>
        <v>121</v>
      </c>
    </row>
    <row r="6384" spans="74:74" x14ac:dyDescent="0.3">
      <c r="BV6384" s="32">
        <f t="shared" ca="1" si="99"/>
        <v>121</v>
      </c>
    </row>
    <row r="6385" spans="74:74" x14ac:dyDescent="0.3">
      <c r="BV6385" s="32">
        <f t="shared" ca="1" si="99"/>
        <v>121</v>
      </c>
    </row>
    <row r="6386" spans="74:74" x14ac:dyDescent="0.3">
      <c r="BV6386" s="32">
        <f t="shared" ca="1" si="99"/>
        <v>121</v>
      </c>
    </row>
    <row r="6387" spans="74:74" x14ac:dyDescent="0.3">
      <c r="BV6387" s="32">
        <f t="shared" ca="1" si="99"/>
        <v>121</v>
      </c>
    </row>
    <row r="6388" spans="74:74" x14ac:dyDescent="0.3">
      <c r="BV6388" s="32">
        <f t="shared" ca="1" si="99"/>
        <v>121</v>
      </c>
    </row>
    <row r="6389" spans="74:74" x14ac:dyDescent="0.3">
      <c r="BV6389" s="32">
        <f t="shared" ca="1" si="99"/>
        <v>121</v>
      </c>
    </row>
    <row r="6390" spans="74:74" x14ac:dyDescent="0.3">
      <c r="BV6390" s="32">
        <f t="shared" ca="1" si="99"/>
        <v>121</v>
      </c>
    </row>
    <row r="6391" spans="74:74" x14ac:dyDescent="0.3">
      <c r="BV6391" s="32">
        <f t="shared" ca="1" si="99"/>
        <v>121</v>
      </c>
    </row>
    <row r="6392" spans="74:74" x14ac:dyDescent="0.3">
      <c r="BV6392" s="32">
        <f t="shared" ca="1" si="99"/>
        <v>121</v>
      </c>
    </row>
    <row r="6393" spans="74:74" x14ac:dyDescent="0.3">
      <c r="BV6393" s="32">
        <f t="shared" ca="1" si="99"/>
        <v>121</v>
      </c>
    </row>
    <row r="6394" spans="74:74" x14ac:dyDescent="0.3">
      <c r="BV6394" s="32">
        <f t="shared" ca="1" si="99"/>
        <v>121</v>
      </c>
    </row>
    <row r="6395" spans="74:74" x14ac:dyDescent="0.3">
      <c r="BV6395" s="32">
        <f t="shared" ca="1" si="99"/>
        <v>121</v>
      </c>
    </row>
    <row r="6396" spans="74:74" x14ac:dyDescent="0.3">
      <c r="BV6396" s="32">
        <f t="shared" ca="1" si="99"/>
        <v>121</v>
      </c>
    </row>
    <row r="6397" spans="74:74" x14ac:dyDescent="0.3">
      <c r="BV6397" s="32">
        <f t="shared" ca="1" si="99"/>
        <v>121</v>
      </c>
    </row>
    <row r="6398" spans="74:74" x14ac:dyDescent="0.3">
      <c r="BV6398" s="32">
        <f t="shared" ca="1" si="99"/>
        <v>121</v>
      </c>
    </row>
    <row r="6399" spans="74:74" x14ac:dyDescent="0.3">
      <c r="BV6399" s="32">
        <f t="shared" ca="1" si="99"/>
        <v>121</v>
      </c>
    </row>
    <row r="6400" spans="74:74" x14ac:dyDescent="0.3">
      <c r="BV6400" s="32">
        <f t="shared" ca="1" si="99"/>
        <v>121</v>
      </c>
    </row>
    <row r="6401" spans="74:74" x14ac:dyDescent="0.3">
      <c r="BV6401" s="32">
        <f t="shared" ca="1" si="99"/>
        <v>121</v>
      </c>
    </row>
    <row r="6402" spans="74:74" x14ac:dyDescent="0.3">
      <c r="BV6402" s="32">
        <f t="shared" ca="1" si="99"/>
        <v>121</v>
      </c>
    </row>
    <row r="6403" spans="74:74" x14ac:dyDescent="0.3">
      <c r="BV6403" s="32">
        <f t="shared" ca="1" si="99"/>
        <v>121</v>
      </c>
    </row>
    <row r="6404" spans="74:74" x14ac:dyDescent="0.3">
      <c r="BV6404" s="32">
        <f t="shared" ca="1" si="99"/>
        <v>121</v>
      </c>
    </row>
    <row r="6405" spans="74:74" x14ac:dyDescent="0.3">
      <c r="BV6405" s="32">
        <f t="shared" ca="1" si="99"/>
        <v>121</v>
      </c>
    </row>
    <row r="6406" spans="74:74" x14ac:dyDescent="0.3">
      <c r="BV6406" s="32">
        <f t="shared" ca="1" si="99"/>
        <v>121</v>
      </c>
    </row>
    <row r="6407" spans="74:74" x14ac:dyDescent="0.3">
      <c r="BV6407" s="32">
        <f t="shared" ca="1" si="99"/>
        <v>121</v>
      </c>
    </row>
    <row r="6408" spans="74:74" x14ac:dyDescent="0.3">
      <c r="BV6408" s="32">
        <f t="shared" ca="1" si="99"/>
        <v>121</v>
      </c>
    </row>
    <row r="6409" spans="74:74" x14ac:dyDescent="0.3">
      <c r="BV6409" s="32">
        <f t="shared" ca="1" si="99"/>
        <v>121</v>
      </c>
    </row>
    <row r="6410" spans="74:74" x14ac:dyDescent="0.3">
      <c r="BV6410" s="32">
        <f t="shared" ca="1" si="99"/>
        <v>121</v>
      </c>
    </row>
    <row r="6411" spans="74:74" x14ac:dyDescent="0.3">
      <c r="BV6411" s="32">
        <f t="shared" ca="1" si="99"/>
        <v>121</v>
      </c>
    </row>
    <row r="6412" spans="74:74" x14ac:dyDescent="0.3">
      <c r="BV6412" s="32">
        <f t="shared" ca="1" si="99"/>
        <v>121</v>
      </c>
    </row>
    <row r="6413" spans="74:74" x14ac:dyDescent="0.3">
      <c r="BV6413" s="32">
        <f t="shared" ref="BV6413:BV6476" ca="1" si="100">INT((TODAY()-$I6413)/365)</f>
        <v>121</v>
      </c>
    </row>
    <row r="6414" spans="74:74" x14ac:dyDescent="0.3">
      <c r="BV6414" s="32">
        <f t="shared" ca="1" si="100"/>
        <v>121</v>
      </c>
    </row>
    <row r="6415" spans="74:74" x14ac:dyDescent="0.3">
      <c r="BV6415" s="32">
        <f t="shared" ca="1" si="100"/>
        <v>121</v>
      </c>
    </row>
    <row r="6416" spans="74:74" x14ac:dyDescent="0.3">
      <c r="BV6416" s="32">
        <f t="shared" ca="1" si="100"/>
        <v>121</v>
      </c>
    </row>
    <row r="6417" spans="74:74" x14ac:dyDescent="0.3">
      <c r="BV6417" s="32">
        <f t="shared" ca="1" si="100"/>
        <v>121</v>
      </c>
    </row>
    <row r="6418" spans="74:74" x14ac:dyDescent="0.3">
      <c r="BV6418" s="32">
        <f t="shared" ca="1" si="100"/>
        <v>121</v>
      </c>
    </row>
    <row r="6419" spans="74:74" x14ac:dyDescent="0.3">
      <c r="BV6419" s="32">
        <f t="shared" ca="1" si="100"/>
        <v>121</v>
      </c>
    </row>
    <row r="6420" spans="74:74" x14ac:dyDescent="0.3">
      <c r="BV6420" s="32">
        <f t="shared" ca="1" si="100"/>
        <v>121</v>
      </c>
    </row>
    <row r="6421" spans="74:74" x14ac:dyDescent="0.3">
      <c r="BV6421" s="32">
        <f t="shared" ca="1" si="100"/>
        <v>121</v>
      </c>
    </row>
    <row r="6422" spans="74:74" x14ac:dyDescent="0.3">
      <c r="BV6422" s="32">
        <f t="shared" ca="1" si="100"/>
        <v>121</v>
      </c>
    </row>
    <row r="6423" spans="74:74" x14ac:dyDescent="0.3">
      <c r="BV6423" s="32">
        <f t="shared" ca="1" si="100"/>
        <v>121</v>
      </c>
    </row>
    <row r="6424" spans="74:74" x14ac:dyDescent="0.3">
      <c r="BV6424" s="32">
        <f t="shared" ca="1" si="100"/>
        <v>121</v>
      </c>
    </row>
    <row r="6425" spans="74:74" x14ac:dyDescent="0.3">
      <c r="BV6425" s="32">
        <f t="shared" ca="1" si="100"/>
        <v>121</v>
      </c>
    </row>
    <row r="6426" spans="74:74" x14ac:dyDescent="0.3">
      <c r="BV6426" s="32">
        <f t="shared" ca="1" si="100"/>
        <v>121</v>
      </c>
    </row>
    <row r="6427" spans="74:74" x14ac:dyDescent="0.3">
      <c r="BV6427" s="32">
        <f t="shared" ca="1" si="100"/>
        <v>121</v>
      </c>
    </row>
    <row r="6428" spans="74:74" x14ac:dyDescent="0.3">
      <c r="BV6428" s="32">
        <f t="shared" ca="1" si="100"/>
        <v>121</v>
      </c>
    </row>
    <row r="6429" spans="74:74" x14ac:dyDescent="0.3">
      <c r="BV6429" s="32">
        <f t="shared" ca="1" si="100"/>
        <v>121</v>
      </c>
    </row>
    <row r="6430" spans="74:74" x14ac:dyDescent="0.3">
      <c r="BV6430" s="32">
        <f t="shared" ca="1" si="100"/>
        <v>121</v>
      </c>
    </row>
    <row r="6431" spans="74:74" x14ac:dyDescent="0.3">
      <c r="BV6431" s="32">
        <f t="shared" ca="1" si="100"/>
        <v>121</v>
      </c>
    </row>
    <row r="6432" spans="74:74" x14ac:dyDescent="0.3">
      <c r="BV6432" s="32">
        <f t="shared" ca="1" si="100"/>
        <v>121</v>
      </c>
    </row>
    <row r="6433" spans="74:74" x14ac:dyDescent="0.3">
      <c r="BV6433" s="32">
        <f t="shared" ca="1" si="100"/>
        <v>121</v>
      </c>
    </row>
    <row r="6434" spans="74:74" x14ac:dyDescent="0.3">
      <c r="BV6434" s="32">
        <f t="shared" ca="1" si="100"/>
        <v>121</v>
      </c>
    </row>
    <row r="6435" spans="74:74" x14ac:dyDescent="0.3">
      <c r="BV6435" s="32">
        <f t="shared" ca="1" si="100"/>
        <v>121</v>
      </c>
    </row>
    <row r="6436" spans="74:74" x14ac:dyDescent="0.3">
      <c r="BV6436" s="32">
        <f t="shared" ca="1" si="100"/>
        <v>121</v>
      </c>
    </row>
    <row r="6437" spans="74:74" x14ac:dyDescent="0.3">
      <c r="BV6437" s="32">
        <f t="shared" ca="1" si="100"/>
        <v>121</v>
      </c>
    </row>
    <row r="6438" spans="74:74" x14ac:dyDescent="0.3">
      <c r="BV6438" s="32">
        <f t="shared" ca="1" si="100"/>
        <v>121</v>
      </c>
    </row>
    <row r="6439" spans="74:74" x14ac:dyDescent="0.3">
      <c r="BV6439" s="32">
        <f t="shared" ca="1" si="100"/>
        <v>121</v>
      </c>
    </row>
    <row r="6440" spans="74:74" x14ac:dyDescent="0.3">
      <c r="BV6440" s="32">
        <f t="shared" ca="1" si="100"/>
        <v>121</v>
      </c>
    </row>
    <row r="6441" spans="74:74" x14ac:dyDescent="0.3">
      <c r="BV6441" s="32">
        <f t="shared" ca="1" si="100"/>
        <v>121</v>
      </c>
    </row>
    <row r="6442" spans="74:74" x14ac:dyDescent="0.3">
      <c r="BV6442" s="32">
        <f t="shared" ca="1" si="100"/>
        <v>121</v>
      </c>
    </row>
    <row r="6443" spans="74:74" x14ac:dyDescent="0.3">
      <c r="BV6443" s="32">
        <f t="shared" ca="1" si="100"/>
        <v>121</v>
      </c>
    </row>
    <row r="6444" spans="74:74" x14ac:dyDescent="0.3">
      <c r="BV6444" s="32">
        <f t="shared" ca="1" si="100"/>
        <v>121</v>
      </c>
    </row>
    <row r="6445" spans="74:74" x14ac:dyDescent="0.3">
      <c r="BV6445" s="32">
        <f t="shared" ca="1" si="100"/>
        <v>121</v>
      </c>
    </row>
    <row r="6446" spans="74:74" x14ac:dyDescent="0.3">
      <c r="BV6446" s="32">
        <f t="shared" ca="1" si="100"/>
        <v>121</v>
      </c>
    </row>
    <row r="6447" spans="74:74" x14ac:dyDescent="0.3">
      <c r="BV6447" s="32">
        <f t="shared" ca="1" si="100"/>
        <v>121</v>
      </c>
    </row>
    <row r="6448" spans="74:74" x14ac:dyDescent="0.3">
      <c r="BV6448" s="32">
        <f t="shared" ca="1" si="100"/>
        <v>121</v>
      </c>
    </row>
    <row r="6449" spans="74:74" x14ac:dyDescent="0.3">
      <c r="BV6449" s="32">
        <f t="shared" ca="1" si="100"/>
        <v>121</v>
      </c>
    </row>
    <row r="6450" spans="74:74" x14ac:dyDescent="0.3">
      <c r="BV6450" s="32">
        <f t="shared" ca="1" si="100"/>
        <v>121</v>
      </c>
    </row>
    <row r="6451" spans="74:74" x14ac:dyDescent="0.3">
      <c r="BV6451" s="32">
        <f t="shared" ca="1" si="100"/>
        <v>121</v>
      </c>
    </row>
    <row r="6452" spans="74:74" x14ac:dyDescent="0.3">
      <c r="BV6452" s="32">
        <f t="shared" ca="1" si="100"/>
        <v>121</v>
      </c>
    </row>
    <row r="6453" spans="74:74" x14ac:dyDescent="0.3">
      <c r="BV6453" s="32">
        <f t="shared" ca="1" si="100"/>
        <v>121</v>
      </c>
    </row>
    <row r="6454" spans="74:74" x14ac:dyDescent="0.3">
      <c r="BV6454" s="32">
        <f t="shared" ca="1" si="100"/>
        <v>121</v>
      </c>
    </row>
    <row r="6455" spans="74:74" x14ac:dyDescent="0.3">
      <c r="BV6455" s="32">
        <f t="shared" ca="1" si="100"/>
        <v>121</v>
      </c>
    </row>
    <row r="6456" spans="74:74" x14ac:dyDescent="0.3">
      <c r="BV6456" s="32">
        <f t="shared" ca="1" si="100"/>
        <v>121</v>
      </c>
    </row>
    <row r="6457" spans="74:74" x14ac:dyDescent="0.3">
      <c r="BV6457" s="32">
        <f t="shared" ca="1" si="100"/>
        <v>121</v>
      </c>
    </row>
    <row r="6458" spans="74:74" x14ac:dyDescent="0.3">
      <c r="BV6458" s="32">
        <f t="shared" ca="1" si="100"/>
        <v>121</v>
      </c>
    </row>
    <row r="6459" spans="74:74" x14ac:dyDescent="0.3">
      <c r="BV6459" s="32">
        <f t="shared" ca="1" si="100"/>
        <v>121</v>
      </c>
    </row>
    <row r="6460" spans="74:74" x14ac:dyDescent="0.3">
      <c r="BV6460" s="32">
        <f t="shared" ca="1" si="100"/>
        <v>121</v>
      </c>
    </row>
    <row r="6461" spans="74:74" x14ac:dyDescent="0.3">
      <c r="BV6461" s="32">
        <f t="shared" ca="1" si="100"/>
        <v>121</v>
      </c>
    </row>
    <row r="6462" spans="74:74" x14ac:dyDescent="0.3">
      <c r="BV6462" s="32">
        <f t="shared" ca="1" si="100"/>
        <v>121</v>
      </c>
    </row>
    <row r="6463" spans="74:74" x14ac:dyDescent="0.3">
      <c r="BV6463" s="32">
        <f t="shared" ca="1" si="100"/>
        <v>121</v>
      </c>
    </row>
    <row r="6464" spans="74:74" x14ac:dyDescent="0.3">
      <c r="BV6464" s="32">
        <f t="shared" ca="1" si="100"/>
        <v>121</v>
      </c>
    </row>
    <row r="6465" spans="74:74" x14ac:dyDescent="0.3">
      <c r="BV6465" s="32">
        <f t="shared" ca="1" si="100"/>
        <v>121</v>
      </c>
    </row>
    <row r="6466" spans="74:74" x14ac:dyDescent="0.3">
      <c r="BV6466" s="32">
        <f t="shared" ca="1" si="100"/>
        <v>121</v>
      </c>
    </row>
    <row r="6467" spans="74:74" x14ac:dyDescent="0.3">
      <c r="BV6467" s="32">
        <f t="shared" ca="1" si="100"/>
        <v>121</v>
      </c>
    </row>
    <row r="6468" spans="74:74" x14ac:dyDescent="0.3">
      <c r="BV6468" s="32">
        <f t="shared" ca="1" si="100"/>
        <v>121</v>
      </c>
    </row>
    <row r="6469" spans="74:74" x14ac:dyDescent="0.3">
      <c r="BV6469" s="32">
        <f t="shared" ca="1" si="100"/>
        <v>121</v>
      </c>
    </row>
    <row r="6470" spans="74:74" x14ac:dyDescent="0.3">
      <c r="BV6470" s="32">
        <f t="shared" ca="1" si="100"/>
        <v>121</v>
      </c>
    </row>
    <row r="6471" spans="74:74" x14ac:dyDescent="0.3">
      <c r="BV6471" s="32">
        <f t="shared" ca="1" si="100"/>
        <v>121</v>
      </c>
    </row>
    <row r="6472" spans="74:74" x14ac:dyDescent="0.3">
      <c r="BV6472" s="32">
        <f t="shared" ca="1" si="100"/>
        <v>121</v>
      </c>
    </row>
    <row r="6473" spans="74:74" x14ac:dyDescent="0.3">
      <c r="BV6473" s="32">
        <f t="shared" ca="1" si="100"/>
        <v>121</v>
      </c>
    </row>
    <row r="6474" spans="74:74" x14ac:dyDescent="0.3">
      <c r="BV6474" s="32">
        <f t="shared" ca="1" si="100"/>
        <v>121</v>
      </c>
    </row>
    <row r="6475" spans="74:74" x14ac:dyDescent="0.3">
      <c r="BV6475" s="32">
        <f t="shared" ca="1" si="100"/>
        <v>121</v>
      </c>
    </row>
    <row r="6476" spans="74:74" x14ac:dyDescent="0.3">
      <c r="BV6476" s="32">
        <f t="shared" ca="1" si="100"/>
        <v>121</v>
      </c>
    </row>
    <row r="6477" spans="74:74" x14ac:dyDescent="0.3">
      <c r="BV6477" s="32">
        <f t="shared" ref="BV6477:BV6540" ca="1" si="101">INT((TODAY()-$I6477)/365)</f>
        <v>121</v>
      </c>
    </row>
    <row r="6478" spans="74:74" x14ac:dyDescent="0.3">
      <c r="BV6478" s="32">
        <f t="shared" ca="1" si="101"/>
        <v>121</v>
      </c>
    </row>
    <row r="6479" spans="74:74" x14ac:dyDescent="0.3">
      <c r="BV6479" s="32">
        <f t="shared" ca="1" si="101"/>
        <v>121</v>
      </c>
    </row>
    <row r="6480" spans="74:74" x14ac:dyDescent="0.3">
      <c r="BV6480" s="32">
        <f t="shared" ca="1" si="101"/>
        <v>121</v>
      </c>
    </row>
    <row r="6481" spans="74:74" x14ac:dyDescent="0.3">
      <c r="BV6481" s="32">
        <f t="shared" ca="1" si="101"/>
        <v>121</v>
      </c>
    </row>
    <row r="6482" spans="74:74" x14ac:dyDescent="0.3">
      <c r="BV6482" s="32">
        <f t="shared" ca="1" si="101"/>
        <v>121</v>
      </c>
    </row>
    <row r="6483" spans="74:74" x14ac:dyDescent="0.3">
      <c r="BV6483" s="32">
        <f t="shared" ca="1" si="101"/>
        <v>121</v>
      </c>
    </row>
    <row r="6484" spans="74:74" x14ac:dyDescent="0.3">
      <c r="BV6484" s="32">
        <f t="shared" ca="1" si="101"/>
        <v>121</v>
      </c>
    </row>
    <row r="6485" spans="74:74" x14ac:dyDescent="0.3">
      <c r="BV6485" s="32">
        <f t="shared" ca="1" si="101"/>
        <v>121</v>
      </c>
    </row>
    <row r="6486" spans="74:74" x14ac:dyDescent="0.3">
      <c r="BV6486" s="32">
        <f t="shared" ca="1" si="101"/>
        <v>121</v>
      </c>
    </row>
    <row r="6487" spans="74:74" x14ac:dyDescent="0.3">
      <c r="BV6487" s="32">
        <f t="shared" ca="1" si="101"/>
        <v>121</v>
      </c>
    </row>
    <row r="6488" spans="74:74" x14ac:dyDescent="0.3">
      <c r="BV6488" s="32">
        <f t="shared" ca="1" si="101"/>
        <v>121</v>
      </c>
    </row>
    <row r="6489" spans="74:74" x14ac:dyDescent="0.3">
      <c r="BV6489" s="32">
        <f t="shared" ca="1" si="101"/>
        <v>121</v>
      </c>
    </row>
    <row r="6490" spans="74:74" x14ac:dyDescent="0.3">
      <c r="BV6490" s="32">
        <f t="shared" ca="1" si="101"/>
        <v>121</v>
      </c>
    </row>
    <row r="6491" spans="74:74" x14ac:dyDescent="0.3">
      <c r="BV6491" s="32">
        <f t="shared" ca="1" si="101"/>
        <v>121</v>
      </c>
    </row>
    <row r="6492" spans="74:74" x14ac:dyDescent="0.3">
      <c r="BV6492" s="32">
        <f t="shared" ca="1" si="101"/>
        <v>121</v>
      </c>
    </row>
    <row r="6493" spans="74:74" x14ac:dyDescent="0.3">
      <c r="BV6493" s="32">
        <f t="shared" ca="1" si="101"/>
        <v>121</v>
      </c>
    </row>
    <row r="6494" spans="74:74" x14ac:dyDescent="0.3">
      <c r="BV6494" s="32">
        <f t="shared" ca="1" si="101"/>
        <v>121</v>
      </c>
    </row>
    <row r="6495" spans="74:74" x14ac:dyDescent="0.3">
      <c r="BV6495" s="32">
        <f t="shared" ca="1" si="101"/>
        <v>121</v>
      </c>
    </row>
    <row r="6496" spans="74:74" x14ac:dyDescent="0.3">
      <c r="BV6496" s="32">
        <f t="shared" ca="1" si="101"/>
        <v>121</v>
      </c>
    </row>
    <row r="6497" spans="74:74" x14ac:dyDescent="0.3">
      <c r="BV6497" s="32">
        <f t="shared" ca="1" si="101"/>
        <v>121</v>
      </c>
    </row>
    <row r="6498" spans="74:74" x14ac:dyDescent="0.3">
      <c r="BV6498" s="32">
        <f t="shared" ca="1" si="101"/>
        <v>121</v>
      </c>
    </row>
    <row r="6499" spans="74:74" x14ac:dyDescent="0.3">
      <c r="BV6499" s="32">
        <f t="shared" ca="1" si="101"/>
        <v>121</v>
      </c>
    </row>
    <row r="6500" spans="74:74" x14ac:dyDescent="0.3">
      <c r="BV6500" s="32">
        <f t="shared" ca="1" si="101"/>
        <v>121</v>
      </c>
    </row>
    <row r="6501" spans="74:74" x14ac:dyDescent="0.3">
      <c r="BV6501" s="32">
        <f t="shared" ca="1" si="101"/>
        <v>121</v>
      </c>
    </row>
    <row r="6502" spans="74:74" x14ac:dyDescent="0.3">
      <c r="BV6502" s="32">
        <f t="shared" ca="1" si="101"/>
        <v>121</v>
      </c>
    </row>
    <row r="6503" spans="74:74" x14ac:dyDescent="0.3">
      <c r="BV6503" s="32">
        <f t="shared" ca="1" si="101"/>
        <v>121</v>
      </c>
    </row>
    <row r="6504" spans="74:74" x14ac:dyDescent="0.3">
      <c r="BV6504" s="32">
        <f t="shared" ca="1" si="101"/>
        <v>121</v>
      </c>
    </row>
    <row r="6505" spans="74:74" x14ac:dyDescent="0.3">
      <c r="BV6505" s="32">
        <f t="shared" ca="1" si="101"/>
        <v>121</v>
      </c>
    </row>
    <row r="6506" spans="74:74" x14ac:dyDescent="0.3">
      <c r="BV6506" s="32">
        <f t="shared" ca="1" si="101"/>
        <v>121</v>
      </c>
    </row>
    <row r="6507" spans="74:74" x14ac:dyDescent="0.3">
      <c r="BV6507" s="32">
        <f t="shared" ca="1" si="101"/>
        <v>121</v>
      </c>
    </row>
    <row r="6508" spans="74:74" x14ac:dyDescent="0.3">
      <c r="BV6508" s="32">
        <f t="shared" ca="1" si="101"/>
        <v>121</v>
      </c>
    </row>
    <row r="6509" spans="74:74" x14ac:dyDescent="0.3">
      <c r="BV6509" s="32">
        <f t="shared" ca="1" si="101"/>
        <v>121</v>
      </c>
    </row>
    <row r="6510" spans="74:74" x14ac:dyDescent="0.3">
      <c r="BV6510" s="32">
        <f t="shared" ca="1" si="101"/>
        <v>121</v>
      </c>
    </row>
    <row r="6511" spans="74:74" x14ac:dyDescent="0.3">
      <c r="BV6511" s="32">
        <f t="shared" ca="1" si="101"/>
        <v>121</v>
      </c>
    </row>
    <row r="6512" spans="74:74" x14ac:dyDescent="0.3">
      <c r="BV6512" s="32">
        <f t="shared" ca="1" si="101"/>
        <v>121</v>
      </c>
    </row>
    <row r="6513" spans="74:74" x14ac:dyDescent="0.3">
      <c r="BV6513" s="32">
        <f t="shared" ca="1" si="101"/>
        <v>121</v>
      </c>
    </row>
    <row r="6514" spans="74:74" x14ac:dyDescent="0.3">
      <c r="BV6514" s="32">
        <f t="shared" ca="1" si="101"/>
        <v>121</v>
      </c>
    </row>
    <row r="6515" spans="74:74" x14ac:dyDescent="0.3">
      <c r="BV6515" s="32">
        <f t="shared" ca="1" si="101"/>
        <v>121</v>
      </c>
    </row>
    <row r="6516" spans="74:74" x14ac:dyDescent="0.3">
      <c r="BV6516" s="32">
        <f t="shared" ca="1" si="101"/>
        <v>121</v>
      </c>
    </row>
    <row r="6517" spans="74:74" x14ac:dyDescent="0.3">
      <c r="BV6517" s="32">
        <f t="shared" ca="1" si="101"/>
        <v>121</v>
      </c>
    </row>
    <row r="6518" spans="74:74" x14ac:dyDescent="0.3">
      <c r="BV6518" s="32">
        <f t="shared" ca="1" si="101"/>
        <v>121</v>
      </c>
    </row>
    <row r="6519" spans="74:74" x14ac:dyDescent="0.3">
      <c r="BV6519" s="32">
        <f t="shared" ca="1" si="101"/>
        <v>121</v>
      </c>
    </row>
    <row r="6520" spans="74:74" x14ac:dyDescent="0.3">
      <c r="BV6520" s="32">
        <f t="shared" ca="1" si="101"/>
        <v>121</v>
      </c>
    </row>
    <row r="6521" spans="74:74" x14ac:dyDescent="0.3">
      <c r="BV6521" s="32">
        <f t="shared" ca="1" si="101"/>
        <v>121</v>
      </c>
    </row>
    <row r="6522" spans="74:74" x14ac:dyDescent="0.3">
      <c r="BV6522" s="32">
        <f t="shared" ca="1" si="101"/>
        <v>121</v>
      </c>
    </row>
    <row r="6523" spans="74:74" x14ac:dyDescent="0.3">
      <c r="BV6523" s="32">
        <f t="shared" ca="1" si="101"/>
        <v>121</v>
      </c>
    </row>
    <row r="6524" spans="74:74" x14ac:dyDescent="0.3">
      <c r="BV6524" s="32">
        <f t="shared" ca="1" si="101"/>
        <v>121</v>
      </c>
    </row>
    <row r="6525" spans="74:74" x14ac:dyDescent="0.3">
      <c r="BV6525" s="32">
        <f t="shared" ca="1" si="101"/>
        <v>121</v>
      </c>
    </row>
    <row r="6526" spans="74:74" x14ac:dyDescent="0.3">
      <c r="BV6526" s="32">
        <f t="shared" ca="1" si="101"/>
        <v>121</v>
      </c>
    </row>
    <row r="6527" spans="74:74" x14ac:dyDescent="0.3">
      <c r="BV6527" s="32">
        <f t="shared" ca="1" si="101"/>
        <v>121</v>
      </c>
    </row>
    <row r="6528" spans="74:74" x14ac:dyDescent="0.3">
      <c r="BV6528" s="32">
        <f t="shared" ca="1" si="101"/>
        <v>121</v>
      </c>
    </row>
    <row r="6529" spans="74:74" x14ac:dyDescent="0.3">
      <c r="BV6529" s="32">
        <f t="shared" ca="1" si="101"/>
        <v>121</v>
      </c>
    </row>
    <row r="6530" spans="74:74" x14ac:dyDescent="0.3">
      <c r="BV6530" s="32">
        <f t="shared" ca="1" si="101"/>
        <v>121</v>
      </c>
    </row>
    <row r="6531" spans="74:74" x14ac:dyDescent="0.3">
      <c r="BV6531" s="32">
        <f t="shared" ca="1" si="101"/>
        <v>121</v>
      </c>
    </row>
    <row r="6532" spans="74:74" x14ac:dyDescent="0.3">
      <c r="BV6532" s="32">
        <f t="shared" ca="1" si="101"/>
        <v>121</v>
      </c>
    </row>
    <row r="6533" spans="74:74" x14ac:dyDescent="0.3">
      <c r="BV6533" s="32">
        <f t="shared" ca="1" si="101"/>
        <v>121</v>
      </c>
    </row>
    <row r="6534" spans="74:74" x14ac:dyDescent="0.3">
      <c r="BV6534" s="32">
        <f t="shared" ca="1" si="101"/>
        <v>121</v>
      </c>
    </row>
    <row r="6535" spans="74:74" x14ac:dyDescent="0.3">
      <c r="BV6535" s="32">
        <f t="shared" ca="1" si="101"/>
        <v>121</v>
      </c>
    </row>
    <row r="6536" spans="74:74" x14ac:dyDescent="0.3">
      <c r="BV6536" s="32">
        <f t="shared" ca="1" si="101"/>
        <v>121</v>
      </c>
    </row>
    <row r="6537" spans="74:74" x14ac:dyDescent="0.3">
      <c r="BV6537" s="32">
        <f t="shared" ca="1" si="101"/>
        <v>121</v>
      </c>
    </row>
    <row r="6538" spans="74:74" x14ac:dyDescent="0.3">
      <c r="BV6538" s="32">
        <f t="shared" ca="1" si="101"/>
        <v>121</v>
      </c>
    </row>
    <row r="6539" spans="74:74" x14ac:dyDescent="0.3">
      <c r="BV6539" s="32">
        <f t="shared" ca="1" si="101"/>
        <v>121</v>
      </c>
    </row>
    <row r="6540" spans="74:74" x14ac:dyDescent="0.3">
      <c r="BV6540" s="32">
        <f t="shared" ca="1" si="101"/>
        <v>121</v>
      </c>
    </row>
    <row r="6541" spans="74:74" x14ac:dyDescent="0.3">
      <c r="BV6541" s="32">
        <f t="shared" ref="BV6541:BV6604" ca="1" si="102">INT((TODAY()-$I6541)/365)</f>
        <v>121</v>
      </c>
    </row>
    <row r="6542" spans="74:74" x14ac:dyDescent="0.3">
      <c r="BV6542" s="32">
        <f t="shared" ca="1" si="102"/>
        <v>121</v>
      </c>
    </row>
    <row r="6543" spans="74:74" x14ac:dyDescent="0.3">
      <c r="BV6543" s="32">
        <f t="shared" ca="1" si="102"/>
        <v>121</v>
      </c>
    </row>
    <row r="6544" spans="74:74" x14ac:dyDescent="0.3">
      <c r="BV6544" s="32">
        <f t="shared" ca="1" si="102"/>
        <v>121</v>
      </c>
    </row>
    <row r="6545" spans="74:74" x14ac:dyDescent="0.3">
      <c r="BV6545" s="32">
        <f t="shared" ca="1" si="102"/>
        <v>121</v>
      </c>
    </row>
    <row r="6546" spans="74:74" x14ac:dyDescent="0.3">
      <c r="BV6546" s="32">
        <f t="shared" ca="1" si="102"/>
        <v>121</v>
      </c>
    </row>
    <row r="6547" spans="74:74" x14ac:dyDescent="0.3">
      <c r="BV6547" s="32">
        <f t="shared" ca="1" si="102"/>
        <v>121</v>
      </c>
    </row>
    <row r="6548" spans="74:74" x14ac:dyDescent="0.3">
      <c r="BV6548" s="32">
        <f t="shared" ca="1" si="102"/>
        <v>121</v>
      </c>
    </row>
    <row r="6549" spans="74:74" x14ac:dyDescent="0.3">
      <c r="BV6549" s="32">
        <f t="shared" ca="1" si="102"/>
        <v>121</v>
      </c>
    </row>
    <row r="6550" spans="74:74" x14ac:dyDescent="0.3">
      <c r="BV6550" s="32">
        <f t="shared" ca="1" si="102"/>
        <v>121</v>
      </c>
    </row>
    <row r="6551" spans="74:74" x14ac:dyDescent="0.3">
      <c r="BV6551" s="32">
        <f t="shared" ca="1" si="102"/>
        <v>121</v>
      </c>
    </row>
    <row r="6552" spans="74:74" x14ac:dyDescent="0.3">
      <c r="BV6552" s="32">
        <f t="shared" ca="1" si="102"/>
        <v>121</v>
      </c>
    </row>
    <row r="6553" spans="74:74" x14ac:dyDescent="0.3">
      <c r="BV6553" s="32">
        <f t="shared" ca="1" si="102"/>
        <v>121</v>
      </c>
    </row>
    <row r="6554" spans="74:74" x14ac:dyDescent="0.3">
      <c r="BV6554" s="32">
        <f t="shared" ca="1" si="102"/>
        <v>121</v>
      </c>
    </row>
    <row r="6555" spans="74:74" x14ac:dyDescent="0.3">
      <c r="BV6555" s="32">
        <f t="shared" ca="1" si="102"/>
        <v>121</v>
      </c>
    </row>
    <row r="6556" spans="74:74" x14ac:dyDescent="0.3">
      <c r="BV6556" s="32">
        <f t="shared" ca="1" si="102"/>
        <v>121</v>
      </c>
    </row>
    <row r="6557" spans="74:74" x14ac:dyDescent="0.3">
      <c r="BV6557" s="32">
        <f t="shared" ca="1" si="102"/>
        <v>121</v>
      </c>
    </row>
    <row r="6558" spans="74:74" x14ac:dyDescent="0.3">
      <c r="BV6558" s="32">
        <f t="shared" ca="1" si="102"/>
        <v>121</v>
      </c>
    </row>
    <row r="6559" spans="74:74" x14ac:dyDescent="0.3">
      <c r="BV6559" s="32">
        <f t="shared" ca="1" si="102"/>
        <v>121</v>
      </c>
    </row>
    <row r="6560" spans="74:74" x14ac:dyDescent="0.3">
      <c r="BV6560" s="32">
        <f t="shared" ca="1" si="102"/>
        <v>121</v>
      </c>
    </row>
    <row r="6561" spans="74:74" x14ac:dyDescent="0.3">
      <c r="BV6561" s="32">
        <f t="shared" ca="1" si="102"/>
        <v>121</v>
      </c>
    </row>
    <row r="6562" spans="74:74" x14ac:dyDescent="0.3">
      <c r="BV6562" s="32">
        <f t="shared" ca="1" si="102"/>
        <v>121</v>
      </c>
    </row>
    <row r="6563" spans="74:74" x14ac:dyDescent="0.3">
      <c r="BV6563" s="32">
        <f t="shared" ca="1" si="102"/>
        <v>121</v>
      </c>
    </row>
    <row r="6564" spans="74:74" x14ac:dyDescent="0.3">
      <c r="BV6564" s="32">
        <f t="shared" ca="1" si="102"/>
        <v>121</v>
      </c>
    </row>
    <row r="6565" spans="74:74" x14ac:dyDescent="0.3">
      <c r="BV6565" s="32">
        <f t="shared" ca="1" si="102"/>
        <v>121</v>
      </c>
    </row>
    <row r="6566" spans="74:74" x14ac:dyDescent="0.3">
      <c r="BV6566" s="32">
        <f t="shared" ca="1" si="102"/>
        <v>121</v>
      </c>
    </row>
    <row r="6567" spans="74:74" x14ac:dyDescent="0.3">
      <c r="BV6567" s="32">
        <f t="shared" ca="1" si="102"/>
        <v>121</v>
      </c>
    </row>
    <row r="6568" spans="74:74" x14ac:dyDescent="0.3">
      <c r="BV6568" s="32">
        <f t="shared" ca="1" si="102"/>
        <v>121</v>
      </c>
    </row>
    <row r="6569" spans="74:74" x14ac:dyDescent="0.3">
      <c r="BV6569" s="32">
        <f t="shared" ca="1" si="102"/>
        <v>121</v>
      </c>
    </row>
    <row r="6570" spans="74:74" x14ac:dyDescent="0.3">
      <c r="BV6570" s="32">
        <f t="shared" ca="1" si="102"/>
        <v>121</v>
      </c>
    </row>
    <row r="6571" spans="74:74" x14ac:dyDescent="0.3">
      <c r="BV6571" s="32">
        <f t="shared" ca="1" si="102"/>
        <v>121</v>
      </c>
    </row>
    <row r="6572" spans="74:74" x14ac:dyDescent="0.3">
      <c r="BV6572" s="32">
        <f t="shared" ca="1" si="102"/>
        <v>121</v>
      </c>
    </row>
    <row r="6573" spans="74:74" x14ac:dyDescent="0.3">
      <c r="BV6573" s="32">
        <f t="shared" ca="1" si="102"/>
        <v>121</v>
      </c>
    </row>
    <row r="6574" spans="74:74" x14ac:dyDescent="0.3">
      <c r="BV6574" s="32">
        <f t="shared" ca="1" si="102"/>
        <v>121</v>
      </c>
    </row>
    <row r="6575" spans="74:74" x14ac:dyDescent="0.3">
      <c r="BV6575" s="32">
        <f t="shared" ca="1" si="102"/>
        <v>121</v>
      </c>
    </row>
    <row r="6576" spans="74:74" x14ac:dyDescent="0.3">
      <c r="BV6576" s="32">
        <f t="shared" ca="1" si="102"/>
        <v>121</v>
      </c>
    </row>
    <row r="6577" spans="74:74" x14ac:dyDescent="0.3">
      <c r="BV6577" s="32">
        <f t="shared" ca="1" si="102"/>
        <v>121</v>
      </c>
    </row>
    <row r="6578" spans="74:74" x14ac:dyDescent="0.3">
      <c r="BV6578" s="32">
        <f t="shared" ca="1" si="102"/>
        <v>121</v>
      </c>
    </row>
    <row r="6579" spans="74:74" x14ac:dyDescent="0.3">
      <c r="BV6579" s="32">
        <f t="shared" ca="1" si="102"/>
        <v>121</v>
      </c>
    </row>
    <row r="6580" spans="74:74" x14ac:dyDescent="0.3">
      <c r="BV6580" s="32">
        <f t="shared" ca="1" si="102"/>
        <v>121</v>
      </c>
    </row>
    <row r="6581" spans="74:74" x14ac:dyDescent="0.3">
      <c r="BV6581" s="32">
        <f t="shared" ca="1" si="102"/>
        <v>121</v>
      </c>
    </row>
    <row r="6582" spans="74:74" x14ac:dyDescent="0.3">
      <c r="BV6582" s="32">
        <f t="shared" ca="1" si="102"/>
        <v>121</v>
      </c>
    </row>
    <row r="6583" spans="74:74" x14ac:dyDescent="0.3">
      <c r="BV6583" s="32">
        <f t="shared" ca="1" si="102"/>
        <v>121</v>
      </c>
    </row>
    <row r="6584" spans="74:74" x14ac:dyDescent="0.3">
      <c r="BV6584" s="32">
        <f t="shared" ca="1" si="102"/>
        <v>121</v>
      </c>
    </row>
    <row r="6585" spans="74:74" x14ac:dyDescent="0.3">
      <c r="BV6585" s="32">
        <f t="shared" ca="1" si="102"/>
        <v>121</v>
      </c>
    </row>
    <row r="6586" spans="74:74" x14ac:dyDescent="0.3">
      <c r="BV6586" s="32">
        <f t="shared" ca="1" si="102"/>
        <v>121</v>
      </c>
    </row>
    <row r="6587" spans="74:74" x14ac:dyDescent="0.3">
      <c r="BV6587" s="32">
        <f t="shared" ca="1" si="102"/>
        <v>121</v>
      </c>
    </row>
    <row r="6588" spans="74:74" x14ac:dyDescent="0.3">
      <c r="BV6588" s="32">
        <f t="shared" ca="1" si="102"/>
        <v>121</v>
      </c>
    </row>
    <row r="6589" spans="74:74" x14ac:dyDescent="0.3">
      <c r="BV6589" s="32">
        <f t="shared" ca="1" si="102"/>
        <v>121</v>
      </c>
    </row>
    <row r="6590" spans="74:74" x14ac:dyDescent="0.3">
      <c r="BV6590" s="32">
        <f t="shared" ca="1" si="102"/>
        <v>121</v>
      </c>
    </row>
    <row r="6591" spans="74:74" x14ac:dyDescent="0.3">
      <c r="BV6591" s="32">
        <f t="shared" ca="1" si="102"/>
        <v>121</v>
      </c>
    </row>
    <row r="6592" spans="74:74" x14ac:dyDescent="0.3">
      <c r="BV6592" s="32">
        <f t="shared" ca="1" si="102"/>
        <v>121</v>
      </c>
    </row>
    <row r="6593" spans="74:74" x14ac:dyDescent="0.3">
      <c r="BV6593" s="32">
        <f t="shared" ca="1" si="102"/>
        <v>121</v>
      </c>
    </row>
    <row r="6594" spans="74:74" x14ac:dyDescent="0.3">
      <c r="BV6594" s="32">
        <f t="shared" ca="1" si="102"/>
        <v>121</v>
      </c>
    </row>
    <row r="6595" spans="74:74" x14ac:dyDescent="0.3">
      <c r="BV6595" s="32">
        <f t="shared" ca="1" si="102"/>
        <v>121</v>
      </c>
    </row>
    <row r="6596" spans="74:74" x14ac:dyDescent="0.3">
      <c r="BV6596" s="32">
        <f t="shared" ca="1" si="102"/>
        <v>121</v>
      </c>
    </row>
    <row r="6597" spans="74:74" x14ac:dyDescent="0.3">
      <c r="BV6597" s="32">
        <f t="shared" ca="1" si="102"/>
        <v>121</v>
      </c>
    </row>
    <row r="6598" spans="74:74" x14ac:dyDescent="0.3">
      <c r="BV6598" s="32">
        <f t="shared" ca="1" si="102"/>
        <v>121</v>
      </c>
    </row>
    <row r="6599" spans="74:74" x14ac:dyDescent="0.3">
      <c r="BV6599" s="32">
        <f t="shared" ca="1" si="102"/>
        <v>121</v>
      </c>
    </row>
    <row r="6600" spans="74:74" x14ac:dyDescent="0.3">
      <c r="BV6600" s="32">
        <f t="shared" ca="1" si="102"/>
        <v>121</v>
      </c>
    </row>
    <row r="6601" spans="74:74" x14ac:dyDescent="0.3">
      <c r="BV6601" s="32">
        <f t="shared" ca="1" si="102"/>
        <v>121</v>
      </c>
    </row>
    <row r="6602" spans="74:74" x14ac:dyDescent="0.3">
      <c r="BV6602" s="32">
        <f t="shared" ca="1" si="102"/>
        <v>121</v>
      </c>
    </row>
    <row r="6603" spans="74:74" x14ac:dyDescent="0.3">
      <c r="BV6603" s="32">
        <f t="shared" ca="1" si="102"/>
        <v>121</v>
      </c>
    </row>
    <row r="6604" spans="74:74" x14ac:dyDescent="0.3">
      <c r="BV6604" s="32">
        <f t="shared" ca="1" si="102"/>
        <v>121</v>
      </c>
    </row>
    <row r="6605" spans="74:74" x14ac:dyDescent="0.3">
      <c r="BV6605" s="32">
        <f t="shared" ref="BV6605:BV6668" ca="1" si="103">INT((TODAY()-$I6605)/365)</f>
        <v>121</v>
      </c>
    </row>
    <row r="6606" spans="74:74" x14ac:dyDescent="0.3">
      <c r="BV6606" s="32">
        <f t="shared" ca="1" si="103"/>
        <v>121</v>
      </c>
    </row>
    <row r="6607" spans="74:74" x14ac:dyDescent="0.3">
      <c r="BV6607" s="32">
        <f t="shared" ca="1" si="103"/>
        <v>121</v>
      </c>
    </row>
    <row r="6608" spans="74:74" x14ac:dyDescent="0.3">
      <c r="BV6608" s="32">
        <f t="shared" ca="1" si="103"/>
        <v>121</v>
      </c>
    </row>
    <row r="6609" spans="74:74" x14ac:dyDescent="0.3">
      <c r="BV6609" s="32">
        <f t="shared" ca="1" si="103"/>
        <v>121</v>
      </c>
    </row>
    <row r="6610" spans="74:74" x14ac:dyDescent="0.3">
      <c r="BV6610" s="32">
        <f t="shared" ca="1" si="103"/>
        <v>121</v>
      </c>
    </row>
    <row r="6611" spans="74:74" x14ac:dyDescent="0.3">
      <c r="BV6611" s="32">
        <f t="shared" ca="1" si="103"/>
        <v>121</v>
      </c>
    </row>
    <row r="6612" spans="74:74" x14ac:dyDescent="0.3">
      <c r="BV6612" s="32">
        <f t="shared" ca="1" si="103"/>
        <v>121</v>
      </c>
    </row>
    <row r="6613" spans="74:74" x14ac:dyDescent="0.3">
      <c r="BV6613" s="32">
        <f t="shared" ca="1" si="103"/>
        <v>121</v>
      </c>
    </row>
    <row r="6614" spans="74:74" x14ac:dyDescent="0.3">
      <c r="BV6614" s="32">
        <f t="shared" ca="1" si="103"/>
        <v>121</v>
      </c>
    </row>
    <row r="6615" spans="74:74" x14ac:dyDescent="0.3">
      <c r="BV6615" s="32">
        <f t="shared" ca="1" si="103"/>
        <v>121</v>
      </c>
    </row>
    <row r="6616" spans="74:74" x14ac:dyDescent="0.3">
      <c r="BV6616" s="32">
        <f t="shared" ca="1" si="103"/>
        <v>121</v>
      </c>
    </row>
    <row r="6617" spans="74:74" x14ac:dyDescent="0.3">
      <c r="BV6617" s="32">
        <f t="shared" ca="1" si="103"/>
        <v>121</v>
      </c>
    </row>
    <row r="6618" spans="74:74" x14ac:dyDescent="0.3">
      <c r="BV6618" s="32">
        <f t="shared" ca="1" si="103"/>
        <v>121</v>
      </c>
    </row>
    <row r="6619" spans="74:74" x14ac:dyDescent="0.3">
      <c r="BV6619" s="32">
        <f t="shared" ca="1" si="103"/>
        <v>121</v>
      </c>
    </row>
    <row r="6620" spans="74:74" x14ac:dyDescent="0.3">
      <c r="BV6620" s="32">
        <f t="shared" ca="1" si="103"/>
        <v>121</v>
      </c>
    </row>
    <row r="6621" spans="74:74" x14ac:dyDescent="0.3">
      <c r="BV6621" s="32">
        <f t="shared" ca="1" si="103"/>
        <v>121</v>
      </c>
    </row>
    <row r="6622" spans="74:74" x14ac:dyDescent="0.3">
      <c r="BV6622" s="32">
        <f t="shared" ca="1" si="103"/>
        <v>121</v>
      </c>
    </row>
    <row r="6623" spans="74:74" x14ac:dyDescent="0.3">
      <c r="BV6623" s="32">
        <f t="shared" ca="1" si="103"/>
        <v>121</v>
      </c>
    </row>
    <row r="6624" spans="74:74" x14ac:dyDescent="0.3">
      <c r="BV6624" s="32">
        <f t="shared" ca="1" si="103"/>
        <v>121</v>
      </c>
    </row>
    <row r="6625" spans="74:74" x14ac:dyDescent="0.3">
      <c r="BV6625" s="32">
        <f t="shared" ca="1" si="103"/>
        <v>121</v>
      </c>
    </row>
    <row r="6626" spans="74:74" x14ac:dyDescent="0.3">
      <c r="BV6626" s="32">
        <f t="shared" ca="1" si="103"/>
        <v>121</v>
      </c>
    </row>
    <row r="6627" spans="74:74" x14ac:dyDescent="0.3">
      <c r="BV6627" s="32">
        <f t="shared" ca="1" si="103"/>
        <v>121</v>
      </c>
    </row>
    <row r="6628" spans="74:74" x14ac:dyDescent="0.3">
      <c r="BV6628" s="32">
        <f t="shared" ca="1" si="103"/>
        <v>121</v>
      </c>
    </row>
    <row r="6629" spans="74:74" x14ac:dyDescent="0.3">
      <c r="BV6629" s="32">
        <f t="shared" ca="1" si="103"/>
        <v>121</v>
      </c>
    </row>
    <row r="6630" spans="74:74" x14ac:dyDescent="0.3">
      <c r="BV6630" s="32">
        <f t="shared" ca="1" si="103"/>
        <v>121</v>
      </c>
    </row>
    <row r="6631" spans="74:74" x14ac:dyDescent="0.3">
      <c r="BV6631" s="32">
        <f t="shared" ca="1" si="103"/>
        <v>121</v>
      </c>
    </row>
    <row r="6632" spans="74:74" x14ac:dyDescent="0.3">
      <c r="BV6632" s="32">
        <f t="shared" ca="1" si="103"/>
        <v>121</v>
      </c>
    </row>
    <row r="6633" spans="74:74" x14ac:dyDescent="0.3">
      <c r="BV6633" s="32">
        <f t="shared" ca="1" si="103"/>
        <v>121</v>
      </c>
    </row>
    <row r="6634" spans="74:74" x14ac:dyDescent="0.3">
      <c r="BV6634" s="32">
        <f t="shared" ca="1" si="103"/>
        <v>121</v>
      </c>
    </row>
    <row r="6635" spans="74:74" x14ac:dyDescent="0.3">
      <c r="BV6635" s="32">
        <f t="shared" ca="1" si="103"/>
        <v>121</v>
      </c>
    </row>
    <row r="6636" spans="74:74" x14ac:dyDescent="0.3">
      <c r="BV6636" s="32">
        <f t="shared" ca="1" si="103"/>
        <v>121</v>
      </c>
    </row>
    <row r="6637" spans="74:74" x14ac:dyDescent="0.3">
      <c r="BV6637" s="32">
        <f t="shared" ca="1" si="103"/>
        <v>121</v>
      </c>
    </row>
    <row r="6638" spans="74:74" x14ac:dyDescent="0.3">
      <c r="BV6638" s="32">
        <f t="shared" ca="1" si="103"/>
        <v>121</v>
      </c>
    </row>
    <row r="6639" spans="74:74" x14ac:dyDescent="0.3">
      <c r="BV6639" s="32">
        <f t="shared" ca="1" si="103"/>
        <v>121</v>
      </c>
    </row>
    <row r="6640" spans="74:74" x14ac:dyDescent="0.3">
      <c r="BV6640" s="32">
        <f t="shared" ca="1" si="103"/>
        <v>121</v>
      </c>
    </row>
    <row r="6641" spans="74:74" x14ac:dyDescent="0.3">
      <c r="BV6641" s="32">
        <f t="shared" ca="1" si="103"/>
        <v>121</v>
      </c>
    </row>
    <row r="6642" spans="74:74" x14ac:dyDescent="0.3">
      <c r="BV6642" s="32">
        <f t="shared" ca="1" si="103"/>
        <v>121</v>
      </c>
    </row>
    <row r="6643" spans="74:74" x14ac:dyDescent="0.3">
      <c r="BV6643" s="32">
        <f t="shared" ca="1" si="103"/>
        <v>121</v>
      </c>
    </row>
    <row r="6644" spans="74:74" x14ac:dyDescent="0.3">
      <c r="BV6644" s="32">
        <f t="shared" ca="1" si="103"/>
        <v>121</v>
      </c>
    </row>
    <row r="6645" spans="74:74" x14ac:dyDescent="0.3">
      <c r="BV6645" s="32">
        <f t="shared" ca="1" si="103"/>
        <v>121</v>
      </c>
    </row>
    <row r="6646" spans="74:74" x14ac:dyDescent="0.3">
      <c r="BV6646" s="32">
        <f t="shared" ca="1" si="103"/>
        <v>121</v>
      </c>
    </row>
    <row r="6647" spans="74:74" x14ac:dyDescent="0.3">
      <c r="BV6647" s="32">
        <f t="shared" ca="1" si="103"/>
        <v>121</v>
      </c>
    </row>
    <row r="6648" spans="74:74" x14ac:dyDescent="0.3">
      <c r="BV6648" s="32">
        <f t="shared" ca="1" si="103"/>
        <v>121</v>
      </c>
    </row>
    <row r="6649" spans="74:74" x14ac:dyDescent="0.3">
      <c r="BV6649" s="32">
        <f t="shared" ca="1" si="103"/>
        <v>121</v>
      </c>
    </row>
    <row r="6650" spans="74:74" x14ac:dyDescent="0.3">
      <c r="BV6650" s="32">
        <f t="shared" ca="1" si="103"/>
        <v>121</v>
      </c>
    </row>
    <row r="6651" spans="74:74" x14ac:dyDescent="0.3">
      <c r="BV6651" s="32">
        <f t="shared" ca="1" si="103"/>
        <v>121</v>
      </c>
    </row>
    <row r="6652" spans="74:74" x14ac:dyDescent="0.3">
      <c r="BV6652" s="32">
        <f t="shared" ca="1" si="103"/>
        <v>121</v>
      </c>
    </row>
    <row r="6653" spans="74:74" x14ac:dyDescent="0.3">
      <c r="BV6653" s="32">
        <f t="shared" ca="1" si="103"/>
        <v>121</v>
      </c>
    </row>
    <row r="6654" spans="74:74" x14ac:dyDescent="0.3">
      <c r="BV6654" s="32">
        <f t="shared" ca="1" si="103"/>
        <v>121</v>
      </c>
    </row>
    <row r="6655" spans="74:74" x14ac:dyDescent="0.3">
      <c r="BV6655" s="32">
        <f t="shared" ca="1" si="103"/>
        <v>121</v>
      </c>
    </row>
    <row r="6656" spans="74:74" x14ac:dyDescent="0.3">
      <c r="BV6656" s="32">
        <f t="shared" ca="1" si="103"/>
        <v>121</v>
      </c>
    </row>
    <row r="6657" spans="74:74" x14ac:dyDescent="0.3">
      <c r="BV6657" s="32">
        <f t="shared" ca="1" si="103"/>
        <v>121</v>
      </c>
    </row>
    <row r="6658" spans="74:74" x14ac:dyDescent="0.3">
      <c r="BV6658" s="32">
        <f t="shared" ca="1" si="103"/>
        <v>121</v>
      </c>
    </row>
    <row r="6659" spans="74:74" x14ac:dyDescent="0.3">
      <c r="BV6659" s="32">
        <f t="shared" ca="1" si="103"/>
        <v>121</v>
      </c>
    </row>
    <row r="6660" spans="74:74" x14ac:dyDescent="0.3">
      <c r="BV6660" s="32">
        <f t="shared" ca="1" si="103"/>
        <v>121</v>
      </c>
    </row>
    <row r="6661" spans="74:74" x14ac:dyDescent="0.3">
      <c r="BV6661" s="32">
        <f t="shared" ca="1" si="103"/>
        <v>121</v>
      </c>
    </row>
    <row r="6662" spans="74:74" x14ac:dyDescent="0.3">
      <c r="BV6662" s="32">
        <f t="shared" ca="1" si="103"/>
        <v>121</v>
      </c>
    </row>
    <row r="6663" spans="74:74" x14ac:dyDescent="0.3">
      <c r="BV6663" s="32">
        <f t="shared" ca="1" si="103"/>
        <v>121</v>
      </c>
    </row>
    <row r="6664" spans="74:74" x14ac:dyDescent="0.3">
      <c r="BV6664" s="32">
        <f t="shared" ca="1" si="103"/>
        <v>121</v>
      </c>
    </row>
    <row r="6665" spans="74:74" x14ac:dyDescent="0.3">
      <c r="BV6665" s="32">
        <f t="shared" ca="1" si="103"/>
        <v>121</v>
      </c>
    </row>
    <row r="6666" spans="74:74" x14ac:dyDescent="0.3">
      <c r="BV6666" s="32">
        <f t="shared" ca="1" si="103"/>
        <v>121</v>
      </c>
    </row>
    <row r="6667" spans="74:74" x14ac:dyDescent="0.3">
      <c r="BV6667" s="32">
        <f t="shared" ca="1" si="103"/>
        <v>121</v>
      </c>
    </row>
    <row r="6668" spans="74:74" x14ac:dyDescent="0.3">
      <c r="BV6668" s="32">
        <f t="shared" ca="1" si="103"/>
        <v>121</v>
      </c>
    </row>
    <row r="6669" spans="74:74" x14ac:dyDescent="0.3">
      <c r="BV6669" s="32">
        <f t="shared" ref="BV6669:BV6732" ca="1" si="104">INT((TODAY()-$I6669)/365)</f>
        <v>121</v>
      </c>
    </row>
    <row r="6670" spans="74:74" x14ac:dyDescent="0.3">
      <c r="BV6670" s="32">
        <f t="shared" ca="1" si="104"/>
        <v>121</v>
      </c>
    </row>
    <row r="6671" spans="74:74" x14ac:dyDescent="0.3">
      <c r="BV6671" s="32">
        <f t="shared" ca="1" si="104"/>
        <v>121</v>
      </c>
    </row>
    <row r="6672" spans="74:74" x14ac:dyDescent="0.3">
      <c r="BV6672" s="32">
        <f t="shared" ca="1" si="104"/>
        <v>121</v>
      </c>
    </row>
    <row r="6673" spans="74:74" x14ac:dyDescent="0.3">
      <c r="BV6673" s="32">
        <f t="shared" ca="1" si="104"/>
        <v>121</v>
      </c>
    </row>
    <row r="6674" spans="74:74" x14ac:dyDescent="0.3">
      <c r="BV6674" s="32">
        <f t="shared" ca="1" si="104"/>
        <v>121</v>
      </c>
    </row>
    <row r="6675" spans="74:74" x14ac:dyDescent="0.3">
      <c r="BV6675" s="32">
        <f t="shared" ca="1" si="104"/>
        <v>121</v>
      </c>
    </row>
    <row r="6676" spans="74:74" x14ac:dyDescent="0.3">
      <c r="BV6676" s="32">
        <f t="shared" ca="1" si="104"/>
        <v>121</v>
      </c>
    </row>
    <row r="6677" spans="74:74" x14ac:dyDescent="0.3">
      <c r="BV6677" s="32">
        <f t="shared" ca="1" si="104"/>
        <v>121</v>
      </c>
    </row>
    <row r="6678" spans="74:74" x14ac:dyDescent="0.3">
      <c r="BV6678" s="32">
        <f t="shared" ca="1" si="104"/>
        <v>121</v>
      </c>
    </row>
    <row r="6679" spans="74:74" x14ac:dyDescent="0.3">
      <c r="BV6679" s="32">
        <f t="shared" ca="1" si="104"/>
        <v>121</v>
      </c>
    </row>
    <row r="6680" spans="74:74" x14ac:dyDescent="0.3">
      <c r="BV6680" s="32">
        <f t="shared" ca="1" si="104"/>
        <v>121</v>
      </c>
    </row>
    <row r="6681" spans="74:74" x14ac:dyDescent="0.3">
      <c r="BV6681" s="32">
        <f t="shared" ca="1" si="104"/>
        <v>121</v>
      </c>
    </row>
    <row r="6682" spans="74:74" x14ac:dyDescent="0.3">
      <c r="BV6682" s="32">
        <f t="shared" ca="1" si="104"/>
        <v>121</v>
      </c>
    </row>
    <row r="6683" spans="74:74" x14ac:dyDescent="0.3">
      <c r="BV6683" s="32">
        <f t="shared" ca="1" si="104"/>
        <v>121</v>
      </c>
    </row>
    <row r="6684" spans="74:74" x14ac:dyDescent="0.3">
      <c r="BV6684" s="32">
        <f t="shared" ca="1" si="104"/>
        <v>121</v>
      </c>
    </row>
    <row r="6685" spans="74:74" x14ac:dyDescent="0.3">
      <c r="BV6685" s="32">
        <f t="shared" ca="1" si="104"/>
        <v>121</v>
      </c>
    </row>
    <row r="6686" spans="74:74" x14ac:dyDescent="0.3">
      <c r="BV6686" s="32">
        <f t="shared" ca="1" si="104"/>
        <v>121</v>
      </c>
    </row>
    <row r="6687" spans="74:74" x14ac:dyDescent="0.3">
      <c r="BV6687" s="32">
        <f t="shared" ca="1" si="104"/>
        <v>121</v>
      </c>
    </row>
    <row r="6688" spans="74:74" x14ac:dyDescent="0.3">
      <c r="BV6688" s="32">
        <f t="shared" ca="1" si="104"/>
        <v>121</v>
      </c>
    </row>
    <row r="6689" spans="74:74" x14ac:dyDescent="0.3">
      <c r="BV6689" s="32">
        <f t="shared" ca="1" si="104"/>
        <v>121</v>
      </c>
    </row>
    <row r="6690" spans="74:74" x14ac:dyDescent="0.3">
      <c r="BV6690" s="32">
        <f t="shared" ca="1" si="104"/>
        <v>121</v>
      </c>
    </row>
    <row r="6691" spans="74:74" x14ac:dyDescent="0.3">
      <c r="BV6691" s="32">
        <f t="shared" ca="1" si="104"/>
        <v>121</v>
      </c>
    </row>
    <row r="6692" spans="74:74" x14ac:dyDescent="0.3">
      <c r="BV6692" s="32">
        <f t="shared" ca="1" si="104"/>
        <v>121</v>
      </c>
    </row>
    <row r="6693" spans="74:74" x14ac:dyDescent="0.3">
      <c r="BV6693" s="32">
        <f t="shared" ca="1" si="104"/>
        <v>121</v>
      </c>
    </row>
    <row r="6694" spans="74:74" x14ac:dyDescent="0.3">
      <c r="BV6694" s="32">
        <f t="shared" ca="1" si="104"/>
        <v>121</v>
      </c>
    </row>
    <row r="6695" spans="74:74" x14ac:dyDescent="0.3">
      <c r="BV6695" s="32">
        <f t="shared" ca="1" si="104"/>
        <v>121</v>
      </c>
    </row>
    <row r="6696" spans="74:74" x14ac:dyDescent="0.3">
      <c r="BV6696" s="32">
        <f t="shared" ca="1" si="104"/>
        <v>121</v>
      </c>
    </row>
    <row r="6697" spans="74:74" x14ac:dyDescent="0.3">
      <c r="BV6697" s="32">
        <f t="shared" ca="1" si="104"/>
        <v>121</v>
      </c>
    </row>
    <row r="6698" spans="74:74" x14ac:dyDescent="0.3">
      <c r="BV6698" s="32">
        <f t="shared" ca="1" si="104"/>
        <v>121</v>
      </c>
    </row>
    <row r="6699" spans="74:74" x14ac:dyDescent="0.3">
      <c r="BV6699" s="32">
        <f t="shared" ca="1" si="104"/>
        <v>121</v>
      </c>
    </row>
    <row r="6700" spans="74:74" x14ac:dyDescent="0.3">
      <c r="BV6700" s="32">
        <f t="shared" ca="1" si="104"/>
        <v>121</v>
      </c>
    </row>
    <row r="6701" spans="74:74" x14ac:dyDescent="0.3">
      <c r="BV6701" s="32">
        <f t="shared" ca="1" si="104"/>
        <v>121</v>
      </c>
    </row>
    <row r="6702" spans="74:74" x14ac:dyDescent="0.3">
      <c r="BV6702" s="32">
        <f t="shared" ca="1" si="104"/>
        <v>121</v>
      </c>
    </row>
    <row r="6703" spans="74:74" x14ac:dyDescent="0.3">
      <c r="BV6703" s="32">
        <f t="shared" ca="1" si="104"/>
        <v>121</v>
      </c>
    </row>
    <row r="6704" spans="74:74" x14ac:dyDescent="0.3">
      <c r="BV6704" s="32">
        <f t="shared" ca="1" si="104"/>
        <v>121</v>
      </c>
    </row>
    <row r="6705" spans="74:74" x14ac:dyDescent="0.3">
      <c r="BV6705" s="32">
        <f t="shared" ca="1" si="104"/>
        <v>121</v>
      </c>
    </row>
    <row r="6706" spans="74:74" x14ac:dyDescent="0.3">
      <c r="BV6706" s="32">
        <f t="shared" ca="1" si="104"/>
        <v>121</v>
      </c>
    </row>
    <row r="6707" spans="74:74" x14ac:dyDescent="0.3">
      <c r="BV6707" s="32">
        <f t="shared" ca="1" si="104"/>
        <v>121</v>
      </c>
    </row>
    <row r="6708" spans="74:74" x14ac:dyDescent="0.3">
      <c r="BV6708" s="32">
        <f t="shared" ca="1" si="104"/>
        <v>121</v>
      </c>
    </row>
    <row r="6709" spans="74:74" x14ac:dyDescent="0.3">
      <c r="BV6709" s="32">
        <f t="shared" ca="1" si="104"/>
        <v>121</v>
      </c>
    </row>
    <row r="6710" spans="74:74" x14ac:dyDescent="0.3">
      <c r="BV6710" s="32">
        <f t="shared" ca="1" si="104"/>
        <v>121</v>
      </c>
    </row>
    <row r="6711" spans="74:74" x14ac:dyDescent="0.3">
      <c r="BV6711" s="32">
        <f t="shared" ca="1" si="104"/>
        <v>121</v>
      </c>
    </row>
    <row r="6712" spans="74:74" x14ac:dyDescent="0.3">
      <c r="BV6712" s="32">
        <f t="shared" ca="1" si="104"/>
        <v>121</v>
      </c>
    </row>
    <row r="6713" spans="74:74" x14ac:dyDescent="0.3">
      <c r="BV6713" s="32">
        <f t="shared" ca="1" si="104"/>
        <v>121</v>
      </c>
    </row>
    <row r="6714" spans="74:74" x14ac:dyDescent="0.3">
      <c r="BV6714" s="32">
        <f t="shared" ca="1" si="104"/>
        <v>121</v>
      </c>
    </row>
    <row r="6715" spans="74:74" x14ac:dyDescent="0.3">
      <c r="BV6715" s="32">
        <f t="shared" ca="1" si="104"/>
        <v>121</v>
      </c>
    </row>
    <row r="6716" spans="74:74" x14ac:dyDescent="0.3">
      <c r="BV6716" s="32">
        <f t="shared" ca="1" si="104"/>
        <v>121</v>
      </c>
    </row>
    <row r="6717" spans="74:74" x14ac:dyDescent="0.3">
      <c r="BV6717" s="32">
        <f t="shared" ca="1" si="104"/>
        <v>121</v>
      </c>
    </row>
    <row r="6718" spans="74:74" x14ac:dyDescent="0.3">
      <c r="BV6718" s="32">
        <f t="shared" ca="1" si="104"/>
        <v>121</v>
      </c>
    </row>
    <row r="6719" spans="74:74" x14ac:dyDescent="0.3">
      <c r="BV6719" s="32">
        <f t="shared" ca="1" si="104"/>
        <v>121</v>
      </c>
    </row>
    <row r="6720" spans="74:74" x14ac:dyDescent="0.3">
      <c r="BV6720" s="32">
        <f t="shared" ca="1" si="104"/>
        <v>121</v>
      </c>
    </row>
    <row r="6721" spans="74:74" x14ac:dyDescent="0.3">
      <c r="BV6721" s="32">
        <f t="shared" ca="1" si="104"/>
        <v>121</v>
      </c>
    </row>
    <row r="6722" spans="74:74" x14ac:dyDescent="0.3">
      <c r="BV6722" s="32">
        <f t="shared" ca="1" si="104"/>
        <v>121</v>
      </c>
    </row>
    <row r="6723" spans="74:74" x14ac:dyDescent="0.3">
      <c r="BV6723" s="32">
        <f t="shared" ca="1" si="104"/>
        <v>121</v>
      </c>
    </row>
    <row r="6724" spans="74:74" x14ac:dyDescent="0.3">
      <c r="BV6724" s="32">
        <f t="shared" ca="1" si="104"/>
        <v>121</v>
      </c>
    </row>
    <row r="6725" spans="74:74" x14ac:dyDescent="0.3">
      <c r="BV6725" s="32">
        <f t="shared" ca="1" si="104"/>
        <v>121</v>
      </c>
    </row>
    <row r="6726" spans="74:74" x14ac:dyDescent="0.3">
      <c r="BV6726" s="32">
        <f t="shared" ca="1" si="104"/>
        <v>121</v>
      </c>
    </row>
    <row r="6727" spans="74:74" x14ac:dyDescent="0.3">
      <c r="BV6727" s="32">
        <f t="shared" ca="1" si="104"/>
        <v>121</v>
      </c>
    </row>
    <row r="6728" spans="74:74" x14ac:dyDescent="0.3">
      <c r="BV6728" s="32">
        <f t="shared" ca="1" si="104"/>
        <v>121</v>
      </c>
    </row>
    <row r="6729" spans="74:74" x14ac:dyDescent="0.3">
      <c r="BV6729" s="32">
        <f t="shared" ca="1" si="104"/>
        <v>121</v>
      </c>
    </row>
    <row r="6730" spans="74:74" x14ac:dyDescent="0.3">
      <c r="BV6730" s="32">
        <f t="shared" ca="1" si="104"/>
        <v>121</v>
      </c>
    </row>
    <row r="6731" spans="74:74" x14ac:dyDescent="0.3">
      <c r="BV6731" s="32">
        <f t="shared" ca="1" si="104"/>
        <v>121</v>
      </c>
    </row>
    <row r="6732" spans="74:74" x14ac:dyDescent="0.3">
      <c r="BV6732" s="32">
        <f t="shared" ca="1" si="104"/>
        <v>121</v>
      </c>
    </row>
    <row r="6733" spans="74:74" x14ac:dyDescent="0.3">
      <c r="BV6733" s="32">
        <f t="shared" ref="BV6733:BV6796" ca="1" si="105">INT((TODAY()-$I6733)/365)</f>
        <v>121</v>
      </c>
    </row>
    <row r="6734" spans="74:74" x14ac:dyDescent="0.3">
      <c r="BV6734" s="32">
        <f t="shared" ca="1" si="105"/>
        <v>121</v>
      </c>
    </row>
    <row r="6735" spans="74:74" x14ac:dyDescent="0.3">
      <c r="BV6735" s="32">
        <f t="shared" ca="1" si="105"/>
        <v>121</v>
      </c>
    </row>
    <row r="6736" spans="74:74" x14ac:dyDescent="0.3">
      <c r="BV6736" s="32">
        <f t="shared" ca="1" si="105"/>
        <v>121</v>
      </c>
    </row>
    <row r="6737" spans="74:74" x14ac:dyDescent="0.3">
      <c r="BV6737" s="32">
        <f t="shared" ca="1" si="105"/>
        <v>121</v>
      </c>
    </row>
    <row r="6738" spans="74:74" x14ac:dyDescent="0.3">
      <c r="BV6738" s="32">
        <f t="shared" ca="1" si="105"/>
        <v>121</v>
      </c>
    </row>
    <row r="6739" spans="74:74" x14ac:dyDescent="0.3">
      <c r="BV6739" s="32">
        <f t="shared" ca="1" si="105"/>
        <v>121</v>
      </c>
    </row>
    <row r="6740" spans="74:74" x14ac:dyDescent="0.3">
      <c r="BV6740" s="32">
        <f t="shared" ca="1" si="105"/>
        <v>121</v>
      </c>
    </row>
    <row r="6741" spans="74:74" x14ac:dyDescent="0.3">
      <c r="BV6741" s="32">
        <f t="shared" ca="1" si="105"/>
        <v>121</v>
      </c>
    </row>
    <row r="6742" spans="74:74" x14ac:dyDescent="0.3">
      <c r="BV6742" s="32">
        <f t="shared" ca="1" si="105"/>
        <v>121</v>
      </c>
    </row>
    <row r="6743" spans="74:74" x14ac:dyDescent="0.3">
      <c r="BV6743" s="32">
        <f t="shared" ca="1" si="105"/>
        <v>121</v>
      </c>
    </row>
    <row r="6744" spans="74:74" x14ac:dyDescent="0.3">
      <c r="BV6744" s="32">
        <f t="shared" ca="1" si="105"/>
        <v>121</v>
      </c>
    </row>
    <row r="6745" spans="74:74" x14ac:dyDescent="0.3">
      <c r="BV6745" s="32">
        <f t="shared" ca="1" si="105"/>
        <v>121</v>
      </c>
    </row>
    <row r="6746" spans="74:74" x14ac:dyDescent="0.3">
      <c r="BV6746" s="32">
        <f t="shared" ca="1" si="105"/>
        <v>121</v>
      </c>
    </row>
    <row r="6747" spans="74:74" x14ac:dyDescent="0.3">
      <c r="BV6747" s="32">
        <f t="shared" ca="1" si="105"/>
        <v>121</v>
      </c>
    </row>
    <row r="6748" spans="74:74" x14ac:dyDescent="0.3">
      <c r="BV6748" s="32">
        <f t="shared" ca="1" si="105"/>
        <v>121</v>
      </c>
    </row>
    <row r="6749" spans="74:74" x14ac:dyDescent="0.3">
      <c r="BV6749" s="32">
        <f t="shared" ca="1" si="105"/>
        <v>121</v>
      </c>
    </row>
    <row r="6750" spans="74:74" x14ac:dyDescent="0.3">
      <c r="BV6750" s="32">
        <f t="shared" ca="1" si="105"/>
        <v>121</v>
      </c>
    </row>
    <row r="6751" spans="74:74" x14ac:dyDescent="0.3">
      <c r="BV6751" s="32">
        <f t="shared" ca="1" si="105"/>
        <v>121</v>
      </c>
    </row>
    <row r="6752" spans="74:74" x14ac:dyDescent="0.3">
      <c r="BV6752" s="32">
        <f t="shared" ca="1" si="105"/>
        <v>121</v>
      </c>
    </row>
    <row r="6753" spans="74:74" x14ac:dyDescent="0.3">
      <c r="BV6753" s="32">
        <f t="shared" ca="1" si="105"/>
        <v>121</v>
      </c>
    </row>
    <row r="6754" spans="74:74" x14ac:dyDescent="0.3">
      <c r="BV6754" s="32">
        <f t="shared" ca="1" si="105"/>
        <v>121</v>
      </c>
    </row>
    <row r="6755" spans="74:74" x14ac:dyDescent="0.3">
      <c r="BV6755" s="32">
        <f t="shared" ca="1" si="105"/>
        <v>121</v>
      </c>
    </row>
    <row r="6756" spans="74:74" x14ac:dyDescent="0.3">
      <c r="BV6756" s="32">
        <f t="shared" ca="1" si="105"/>
        <v>121</v>
      </c>
    </row>
    <row r="6757" spans="74:74" x14ac:dyDescent="0.3">
      <c r="BV6757" s="32">
        <f t="shared" ca="1" si="105"/>
        <v>121</v>
      </c>
    </row>
    <row r="6758" spans="74:74" x14ac:dyDescent="0.3">
      <c r="BV6758" s="32">
        <f t="shared" ca="1" si="105"/>
        <v>121</v>
      </c>
    </row>
    <row r="6759" spans="74:74" x14ac:dyDescent="0.3">
      <c r="BV6759" s="32">
        <f t="shared" ca="1" si="105"/>
        <v>121</v>
      </c>
    </row>
    <row r="6760" spans="74:74" x14ac:dyDescent="0.3">
      <c r="BV6760" s="32">
        <f t="shared" ca="1" si="105"/>
        <v>121</v>
      </c>
    </row>
    <row r="6761" spans="74:74" x14ac:dyDescent="0.3">
      <c r="BV6761" s="32">
        <f t="shared" ca="1" si="105"/>
        <v>121</v>
      </c>
    </row>
    <row r="6762" spans="74:74" x14ac:dyDescent="0.3">
      <c r="BV6762" s="32">
        <f t="shared" ca="1" si="105"/>
        <v>121</v>
      </c>
    </row>
    <row r="6763" spans="74:74" x14ac:dyDescent="0.3">
      <c r="BV6763" s="32">
        <f t="shared" ca="1" si="105"/>
        <v>121</v>
      </c>
    </row>
    <row r="6764" spans="74:74" x14ac:dyDescent="0.3">
      <c r="BV6764" s="32">
        <f t="shared" ca="1" si="105"/>
        <v>121</v>
      </c>
    </row>
    <row r="6765" spans="74:74" x14ac:dyDescent="0.3">
      <c r="BV6765" s="32">
        <f t="shared" ca="1" si="105"/>
        <v>121</v>
      </c>
    </row>
    <row r="6766" spans="74:74" x14ac:dyDescent="0.3">
      <c r="BV6766" s="32">
        <f t="shared" ca="1" si="105"/>
        <v>121</v>
      </c>
    </row>
    <row r="6767" spans="74:74" x14ac:dyDescent="0.3">
      <c r="BV6767" s="32">
        <f t="shared" ca="1" si="105"/>
        <v>121</v>
      </c>
    </row>
    <row r="6768" spans="74:74" x14ac:dyDescent="0.3">
      <c r="BV6768" s="32">
        <f t="shared" ca="1" si="105"/>
        <v>121</v>
      </c>
    </row>
    <row r="6769" spans="74:74" x14ac:dyDescent="0.3">
      <c r="BV6769" s="32">
        <f t="shared" ca="1" si="105"/>
        <v>121</v>
      </c>
    </row>
    <row r="6770" spans="74:74" x14ac:dyDescent="0.3">
      <c r="BV6770" s="32">
        <f t="shared" ca="1" si="105"/>
        <v>121</v>
      </c>
    </row>
    <row r="6771" spans="74:74" x14ac:dyDescent="0.3">
      <c r="BV6771" s="32">
        <f t="shared" ca="1" si="105"/>
        <v>121</v>
      </c>
    </row>
    <row r="6772" spans="74:74" x14ac:dyDescent="0.3">
      <c r="BV6772" s="32">
        <f t="shared" ca="1" si="105"/>
        <v>121</v>
      </c>
    </row>
    <row r="6773" spans="74:74" x14ac:dyDescent="0.3">
      <c r="BV6773" s="32">
        <f t="shared" ca="1" si="105"/>
        <v>121</v>
      </c>
    </row>
    <row r="6774" spans="74:74" x14ac:dyDescent="0.3">
      <c r="BV6774" s="32">
        <f t="shared" ca="1" si="105"/>
        <v>121</v>
      </c>
    </row>
    <row r="6775" spans="74:74" x14ac:dyDescent="0.3">
      <c r="BV6775" s="32">
        <f t="shared" ca="1" si="105"/>
        <v>121</v>
      </c>
    </row>
    <row r="6776" spans="74:74" x14ac:dyDescent="0.3">
      <c r="BV6776" s="32">
        <f t="shared" ca="1" si="105"/>
        <v>121</v>
      </c>
    </row>
    <row r="6777" spans="74:74" x14ac:dyDescent="0.3">
      <c r="BV6777" s="32">
        <f t="shared" ca="1" si="105"/>
        <v>121</v>
      </c>
    </row>
    <row r="6778" spans="74:74" x14ac:dyDescent="0.3">
      <c r="BV6778" s="32">
        <f t="shared" ca="1" si="105"/>
        <v>121</v>
      </c>
    </row>
    <row r="6779" spans="74:74" x14ac:dyDescent="0.3">
      <c r="BV6779" s="32">
        <f t="shared" ca="1" si="105"/>
        <v>121</v>
      </c>
    </row>
    <row r="6780" spans="74:74" x14ac:dyDescent="0.3">
      <c r="BV6780" s="32">
        <f t="shared" ca="1" si="105"/>
        <v>121</v>
      </c>
    </row>
    <row r="6781" spans="74:74" x14ac:dyDescent="0.3">
      <c r="BV6781" s="32">
        <f t="shared" ca="1" si="105"/>
        <v>121</v>
      </c>
    </row>
    <row r="6782" spans="74:74" x14ac:dyDescent="0.3">
      <c r="BV6782" s="32">
        <f t="shared" ca="1" si="105"/>
        <v>121</v>
      </c>
    </row>
    <row r="6783" spans="74:74" x14ac:dyDescent="0.3">
      <c r="BV6783" s="32">
        <f t="shared" ca="1" si="105"/>
        <v>121</v>
      </c>
    </row>
    <row r="6784" spans="74:74" x14ac:dyDescent="0.3">
      <c r="BV6784" s="32">
        <f t="shared" ca="1" si="105"/>
        <v>121</v>
      </c>
    </row>
    <row r="6785" spans="74:74" x14ac:dyDescent="0.3">
      <c r="BV6785" s="32">
        <f t="shared" ca="1" si="105"/>
        <v>121</v>
      </c>
    </row>
    <row r="6786" spans="74:74" x14ac:dyDescent="0.3">
      <c r="BV6786" s="32">
        <f t="shared" ca="1" si="105"/>
        <v>121</v>
      </c>
    </row>
    <row r="6787" spans="74:74" x14ac:dyDescent="0.3">
      <c r="BV6787" s="32">
        <f t="shared" ca="1" si="105"/>
        <v>121</v>
      </c>
    </row>
    <row r="6788" spans="74:74" x14ac:dyDescent="0.3">
      <c r="BV6788" s="32">
        <f t="shared" ca="1" si="105"/>
        <v>121</v>
      </c>
    </row>
    <row r="6789" spans="74:74" x14ac:dyDescent="0.3">
      <c r="BV6789" s="32">
        <f t="shared" ca="1" si="105"/>
        <v>121</v>
      </c>
    </row>
    <row r="6790" spans="74:74" x14ac:dyDescent="0.3">
      <c r="BV6790" s="32">
        <f t="shared" ca="1" si="105"/>
        <v>121</v>
      </c>
    </row>
    <row r="6791" spans="74:74" x14ac:dyDescent="0.3">
      <c r="BV6791" s="32">
        <f t="shared" ca="1" si="105"/>
        <v>121</v>
      </c>
    </row>
    <row r="6792" spans="74:74" x14ac:dyDescent="0.3">
      <c r="BV6792" s="32">
        <f t="shared" ca="1" si="105"/>
        <v>121</v>
      </c>
    </row>
    <row r="6793" spans="74:74" x14ac:dyDescent="0.3">
      <c r="BV6793" s="32">
        <f t="shared" ca="1" si="105"/>
        <v>121</v>
      </c>
    </row>
    <row r="6794" spans="74:74" x14ac:dyDescent="0.3">
      <c r="BV6794" s="32">
        <f t="shared" ca="1" si="105"/>
        <v>121</v>
      </c>
    </row>
    <row r="6795" spans="74:74" x14ac:dyDescent="0.3">
      <c r="BV6795" s="32">
        <f t="shared" ca="1" si="105"/>
        <v>121</v>
      </c>
    </row>
    <row r="6796" spans="74:74" x14ac:dyDescent="0.3">
      <c r="BV6796" s="32">
        <f t="shared" ca="1" si="105"/>
        <v>121</v>
      </c>
    </row>
    <row r="6797" spans="74:74" x14ac:dyDescent="0.3">
      <c r="BV6797" s="32">
        <f t="shared" ref="BV6797:BV6860" ca="1" si="106">INT((TODAY()-$I6797)/365)</f>
        <v>121</v>
      </c>
    </row>
    <row r="6798" spans="74:74" x14ac:dyDescent="0.3">
      <c r="BV6798" s="32">
        <f t="shared" ca="1" si="106"/>
        <v>121</v>
      </c>
    </row>
    <row r="6799" spans="74:74" x14ac:dyDescent="0.3">
      <c r="BV6799" s="32">
        <f t="shared" ca="1" si="106"/>
        <v>121</v>
      </c>
    </row>
    <row r="6800" spans="74:74" x14ac:dyDescent="0.3">
      <c r="BV6800" s="32">
        <f t="shared" ca="1" si="106"/>
        <v>121</v>
      </c>
    </row>
    <row r="6801" spans="74:74" x14ac:dyDescent="0.3">
      <c r="BV6801" s="32">
        <f t="shared" ca="1" si="106"/>
        <v>121</v>
      </c>
    </row>
    <row r="6802" spans="74:74" x14ac:dyDescent="0.3">
      <c r="BV6802" s="32">
        <f t="shared" ca="1" si="106"/>
        <v>121</v>
      </c>
    </row>
    <row r="6803" spans="74:74" x14ac:dyDescent="0.3">
      <c r="BV6803" s="32">
        <f t="shared" ca="1" si="106"/>
        <v>121</v>
      </c>
    </row>
    <row r="6804" spans="74:74" x14ac:dyDescent="0.3">
      <c r="BV6804" s="32">
        <f t="shared" ca="1" si="106"/>
        <v>121</v>
      </c>
    </row>
    <row r="6805" spans="74:74" x14ac:dyDescent="0.3">
      <c r="BV6805" s="32">
        <f t="shared" ca="1" si="106"/>
        <v>121</v>
      </c>
    </row>
    <row r="6806" spans="74:74" x14ac:dyDescent="0.3">
      <c r="BV6806" s="32">
        <f t="shared" ca="1" si="106"/>
        <v>121</v>
      </c>
    </row>
    <row r="6807" spans="74:74" x14ac:dyDescent="0.3">
      <c r="BV6807" s="32">
        <f t="shared" ca="1" si="106"/>
        <v>121</v>
      </c>
    </row>
    <row r="6808" spans="74:74" x14ac:dyDescent="0.3">
      <c r="BV6808" s="32">
        <f t="shared" ca="1" si="106"/>
        <v>121</v>
      </c>
    </row>
    <row r="6809" spans="74:74" x14ac:dyDescent="0.3">
      <c r="BV6809" s="32">
        <f t="shared" ca="1" si="106"/>
        <v>121</v>
      </c>
    </row>
    <row r="6810" spans="74:74" x14ac:dyDescent="0.3">
      <c r="BV6810" s="32">
        <f t="shared" ca="1" si="106"/>
        <v>121</v>
      </c>
    </row>
    <row r="6811" spans="74:74" x14ac:dyDescent="0.3">
      <c r="BV6811" s="32">
        <f t="shared" ca="1" si="106"/>
        <v>121</v>
      </c>
    </row>
    <row r="6812" spans="74:74" x14ac:dyDescent="0.3">
      <c r="BV6812" s="32">
        <f t="shared" ca="1" si="106"/>
        <v>121</v>
      </c>
    </row>
    <row r="6813" spans="74:74" x14ac:dyDescent="0.3">
      <c r="BV6813" s="32">
        <f t="shared" ca="1" si="106"/>
        <v>121</v>
      </c>
    </row>
    <row r="6814" spans="74:74" x14ac:dyDescent="0.3">
      <c r="BV6814" s="32">
        <f t="shared" ca="1" si="106"/>
        <v>121</v>
      </c>
    </row>
    <row r="6815" spans="74:74" x14ac:dyDescent="0.3">
      <c r="BV6815" s="32">
        <f t="shared" ca="1" si="106"/>
        <v>121</v>
      </c>
    </row>
    <row r="6816" spans="74:74" x14ac:dyDescent="0.3">
      <c r="BV6816" s="32">
        <f t="shared" ca="1" si="106"/>
        <v>121</v>
      </c>
    </row>
    <row r="6817" spans="74:74" x14ac:dyDescent="0.3">
      <c r="BV6817" s="32">
        <f t="shared" ca="1" si="106"/>
        <v>121</v>
      </c>
    </row>
    <row r="6818" spans="74:74" x14ac:dyDescent="0.3">
      <c r="BV6818" s="32">
        <f t="shared" ca="1" si="106"/>
        <v>121</v>
      </c>
    </row>
    <row r="6819" spans="74:74" x14ac:dyDescent="0.3">
      <c r="BV6819" s="32">
        <f t="shared" ca="1" si="106"/>
        <v>121</v>
      </c>
    </row>
    <row r="6820" spans="74:74" x14ac:dyDescent="0.3">
      <c r="BV6820" s="32">
        <f t="shared" ca="1" si="106"/>
        <v>121</v>
      </c>
    </row>
    <row r="6821" spans="74:74" x14ac:dyDescent="0.3">
      <c r="BV6821" s="32">
        <f t="shared" ca="1" si="106"/>
        <v>121</v>
      </c>
    </row>
    <row r="6822" spans="74:74" x14ac:dyDescent="0.3">
      <c r="BV6822" s="32">
        <f t="shared" ca="1" si="106"/>
        <v>121</v>
      </c>
    </row>
    <row r="6823" spans="74:74" x14ac:dyDescent="0.3">
      <c r="BV6823" s="32">
        <f t="shared" ca="1" si="106"/>
        <v>121</v>
      </c>
    </row>
    <row r="6824" spans="74:74" x14ac:dyDescent="0.3">
      <c r="BV6824" s="32">
        <f t="shared" ca="1" si="106"/>
        <v>121</v>
      </c>
    </row>
    <row r="6825" spans="74:74" x14ac:dyDescent="0.3">
      <c r="BV6825" s="32">
        <f t="shared" ca="1" si="106"/>
        <v>121</v>
      </c>
    </row>
    <row r="6826" spans="74:74" x14ac:dyDescent="0.3">
      <c r="BV6826" s="32">
        <f t="shared" ca="1" si="106"/>
        <v>121</v>
      </c>
    </row>
    <row r="6827" spans="74:74" x14ac:dyDescent="0.3">
      <c r="BV6827" s="32">
        <f t="shared" ca="1" si="106"/>
        <v>121</v>
      </c>
    </row>
    <row r="6828" spans="74:74" x14ac:dyDescent="0.3">
      <c r="BV6828" s="32">
        <f t="shared" ca="1" si="106"/>
        <v>121</v>
      </c>
    </row>
    <row r="6829" spans="74:74" x14ac:dyDescent="0.3">
      <c r="BV6829" s="32">
        <f t="shared" ca="1" si="106"/>
        <v>121</v>
      </c>
    </row>
    <row r="6830" spans="74:74" x14ac:dyDescent="0.3">
      <c r="BV6830" s="32">
        <f t="shared" ca="1" si="106"/>
        <v>121</v>
      </c>
    </row>
    <row r="6831" spans="74:74" x14ac:dyDescent="0.3">
      <c r="BV6831" s="32">
        <f t="shared" ca="1" si="106"/>
        <v>121</v>
      </c>
    </row>
    <row r="6832" spans="74:74" x14ac:dyDescent="0.3">
      <c r="BV6832" s="32">
        <f t="shared" ca="1" si="106"/>
        <v>121</v>
      </c>
    </row>
    <row r="6833" spans="74:74" x14ac:dyDescent="0.3">
      <c r="BV6833" s="32">
        <f t="shared" ca="1" si="106"/>
        <v>121</v>
      </c>
    </row>
    <row r="6834" spans="74:74" x14ac:dyDescent="0.3">
      <c r="BV6834" s="32">
        <f t="shared" ca="1" si="106"/>
        <v>121</v>
      </c>
    </row>
    <row r="6835" spans="74:74" x14ac:dyDescent="0.3">
      <c r="BV6835" s="32">
        <f t="shared" ca="1" si="106"/>
        <v>121</v>
      </c>
    </row>
    <row r="6836" spans="74:74" x14ac:dyDescent="0.3">
      <c r="BV6836" s="32">
        <f t="shared" ca="1" si="106"/>
        <v>121</v>
      </c>
    </row>
    <row r="6837" spans="74:74" x14ac:dyDescent="0.3">
      <c r="BV6837" s="32">
        <f t="shared" ca="1" si="106"/>
        <v>121</v>
      </c>
    </row>
    <row r="6838" spans="74:74" x14ac:dyDescent="0.3">
      <c r="BV6838" s="32">
        <f t="shared" ca="1" si="106"/>
        <v>121</v>
      </c>
    </row>
    <row r="6839" spans="74:74" x14ac:dyDescent="0.3">
      <c r="BV6839" s="32">
        <f t="shared" ca="1" si="106"/>
        <v>121</v>
      </c>
    </row>
    <row r="6840" spans="74:74" x14ac:dyDescent="0.3">
      <c r="BV6840" s="32">
        <f t="shared" ca="1" si="106"/>
        <v>121</v>
      </c>
    </row>
    <row r="6841" spans="74:74" x14ac:dyDescent="0.3">
      <c r="BV6841" s="32">
        <f t="shared" ca="1" si="106"/>
        <v>121</v>
      </c>
    </row>
    <row r="6842" spans="74:74" x14ac:dyDescent="0.3">
      <c r="BV6842" s="32">
        <f t="shared" ca="1" si="106"/>
        <v>121</v>
      </c>
    </row>
    <row r="6843" spans="74:74" x14ac:dyDescent="0.3">
      <c r="BV6843" s="32">
        <f t="shared" ca="1" si="106"/>
        <v>121</v>
      </c>
    </row>
    <row r="6844" spans="74:74" x14ac:dyDescent="0.3">
      <c r="BV6844" s="32">
        <f t="shared" ca="1" si="106"/>
        <v>121</v>
      </c>
    </row>
    <row r="6845" spans="74:74" x14ac:dyDescent="0.3">
      <c r="BV6845" s="32">
        <f t="shared" ca="1" si="106"/>
        <v>121</v>
      </c>
    </row>
    <row r="6846" spans="74:74" x14ac:dyDescent="0.3">
      <c r="BV6846" s="32">
        <f t="shared" ca="1" si="106"/>
        <v>121</v>
      </c>
    </row>
    <row r="6847" spans="74:74" x14ac:dyDescent="0.3">
      <c r="BV6847" s="32">
        <f t="shared" ca="1" si="106"/>
        <v>121</v>
      </c>
    </row>
    <row r="6848" spans="74:74" x14ac:dyDescent="0.3">
      <c r="BV6848" s="32">
        <f t="shared" ca="1" si="106"/>
        <v>121</v>
      </c>
    </row>
    <row r="6849" spans="74:74" x14ac:dyDescent="0.3">
      <c r="BV6849" s="32">
        <f t="shared" ca="1" si="106"/>
        <v>121</v>
      </c>
    </row>
    <row r="6850" spans="74:74" x14ac:dyDescent="0.3">
      <c r="BV6850" s="32">
        <f t="shared" ca="1" si="106"/>
        <v>121</v>
      </c>
    </row>
    <row r="6851" spans="74:74" x14ac:dyDescent="0.3">
      <c r="BV6851" s="32">
        <f t="shared" ca="1" si="106"/>
        <v>121</v>
      </c>
    </row>
    <row r="6852" spans="74:74" x14ac:dyDescent="0.3">
      <c r="BV6852" s="32">
        <f t="shared" ca="1" si="106"/>
        <v>121</v>
      </c>
    </row>
    <row r="6853" spans="74:74" x14ac:dyDescent="0.3">
      <c r="BV6853" s="32">
        <f t="shared" ca="1" si="106"/>
        <v>121</v>
      </c>
    </row>
    <row r="6854" spans="74:74" x14ac:dyDescent="0.3">
      <c r="BV6854" s="32">
        <f t="shared" ca="1" si="106"/>
        <v>121</v>
      </c>
    </row>
    <row r="6855" spans="74:74" x14ac:dyDescent="0.3">
      <c r="BV6855" s="32">
        <f t="shared" ca="1" si="106"/>
        <v>121</v>
      </c>
    </row>
    <row r="6856" spans="74:74" x14ac:dyDescent="0.3">
      <c r="BV6856" s="32">
        <f t="shared" ca="1" si="106"/>
        <v>121</v>
      </c>
    </row>
    <row r="6857" spans="74:74" x14ac:dyDescent="0.3">
      <c r="BV6857" s="32">
        <f t="shared" ca="1" si="106"/>
        <v>121</v>
      </c>
    </row>
    <row r="6858" spans="74:74" x14ac:dyDescent="0.3">
      <c r="BV6858" s="32">
        <f t="shared" ca="1" si="106"/>
        <v>121</v>
      </c>
    </row>
    <row r="6859" spans="74:74" x14ac:dyDescent="0.3">
      <c r="BV6859" s="32">
        <f t="shared" ca="1" si="106"/>
        <v>121</v>
      </c>
    </row>
    <row r="6860" spans="74:74" x14ac:dyDescent="0.3">
      <c r="BV6860" s="32">
        <f t="shared" ca="1" si="106"/>
        <v>121</v>
      </c>
    </row>
    <row r="6861" spans="74:74" x14ac:dyDescent="0.3">
      <c r="BV6861" s="32">
        <f t="shared" ref="BV6861:BV6924" ca="1" si="107">INT((TODAY()-$I6861)/365)</f>
        <v>121</v>
      </c>
    </row>
    <row r="6862" spans="74:74" x14ac:dyDescent="0.3">
      <c r="BV6862" s="32">
        <f t="shared" ca="1" si="107"/>
        <v>121</v>
      </c>
    </row>
    <row r="6863" spans="74:74" x14ac:dyDescent="0.3">
      <c r="BV6863" s="32">
        <f t="shared" ca="1" si="107"/>
        <v>121</v>
      </c>
    </row>
    <row r="6864" spans="74:74" x14ac:dyDescent="0.3">
      <c r="BV6864" s="32">
        <f t="shared" ca="1" si="107"/>
        <v>121</v>
      </c>
    </row>
    <row r="6865" spans="74:74" x14ac:dyDescent="0.3">
      <c r="BV6865" s="32">
        <f t="shared" ca="1" si="107"/>
        <v>121</v>
      </c>
    </row>
    <row r="6866" spans="74:74" x14ac:dyDescent="0.3">
      <c r="BV6866" s="32">
        <f t="shared" ca="1" si="107"/>
        <v>121</v>
      </c>
    </row>
    <row r="6867" spans="74:74" x14ac:dyDescent="0.3">
      <c r="BV6867" s="32">
        <f t="shared" ca="1" si="107"/>
        <v>121</v>
      </c>
    </row>
    <row r="6868" spans="74:74" x14ac:dyDescent="0.3">
      <c r="BV6868" s="32">
        <f t="shared" ca="1" si="107"/>
        <v>121</v>
      </c>
    </row>
    <row r="6869" spans="74:74" x14ac:dyDescent="0.3">
      <c r="BV6869" s="32">
        <f t="shared" ca="1" si="107"/>
        <v>121</v>
      </c>
    </row>
    <row r="6870" spans="74:74" x14ac:dyDescent="0.3">
      <c r="BV6870" s="32">
        <f t="shared" ca="1" si="107"/>
        <v>121</v>
      </c>
    </row>
    <row r="6871" spans="74:74" x14ac:dyDescent="0.3">
      <c r="BV6871" s="32">
        <f t="shared" ca="1" si="107"/>
        <v>121</v>
      </c>
    </row>
    <row r="6872" spans="74:74" x14ac:dyDescent="0.3">
      <c r="BV6872" s="32">
        <f t="shared" ca="1" si="107"/>
        <v>121</v>
      </c>
    </row>
    <row r="6873" spans="74:74" x14ac:dyDescent="0.3">
      <c r="BV6873" s="32">
        <f t="shared" ca="1" si="107"/>
        <v>121</v>
      </c>
    </row>
    <row r="6874" spans="74:74" x14ac:dyDescent="0.3">
      <c r="BV6874" s="32">
        <f t="shared" ca="1" si="107"/>
        <v>121</v>
      </c>
    </row>
    <row r="6875" spans="74:74" x14ac:dyDescent="0.3">
      <c r="BV6875" s="32">
        <f t="shared" ca="1" si="107"/>
        <v>121</v>
      </c>
    </row>
    <row r="6876" spans="74:74" x14ac:dyDescent="0.3">
      <c r="BV6876" s="32">
        <f t="shared" ca="1" si="107"/>
        <v>121</v>
      </c>
    </row>
    <row r="6877" spans="74:74" x14ac:dyDescent="0.3">
      <c r="BV6877" s="32">
        <f t="shared" ca="1" si="107"/>
        <v>121</v>
      </c>
    </row>
    <row r="6878" spans="74:74" x14ac:dyDescent="0.3">
      <c r="BV6878" s="32">
        <f t="shared" ca="1" si="107"/>
        <v>121</v>
      </c>
    </row>
    <row r="6879" spans="74:74" x14ac:dyDescent="0.3">
      <c r="BV6879" s="32">
        <f t="shared" ca="1" si="107"/>
        <v>121</v>
      </c>
    </row>
    <row r="6880" spans="74:74" x14ac:dyDescent="0.3">
      <c r="BV6880" s="32">
        <f t="shared" ca="1" si="107"/>
        <v>121</v>
      </c>
    </row>
    <row r="6881" spans="74:74" x14ac:dyDescent="0.3">
      <c r="BV6881" s="32">
        <f t="shared" ca="1" si="107"/>
        <v>121</v>
      </c>
    </row>
    <row r="6882" spans="74:74" x14ac:dyDescent="0.3">
      <c r="BV6882" s="32">
        <f t="shared" ca="1" si="107"/>
        <v>121</v>
      </c>
    </row>
    <row r="6883" spans="74:74" x14ac:dyDescent="0.3">
      <c r="BV6883" s="32">
        <f t="shared" ca="1" si="107"/>
        <v>121</v>
      </c>
    </row>
    <row r="6884" spans="74:74" x14ac:dyDescent="0.3">
      <c r="BV6884" s="32">
        <f t="shared" ca="1" si="107"/>
        <v>121</v>
      </c>
    </row>
    <row r="6885" spans="74:74" x14ac:dyDescent="0.3">
      <c r="BV6885" s="32">
        <f t="shared" ca="1" si="107"/>
        <v>121</v>
      </c>
    </row>
    <row r="6886" spans="74:74" x14ac:dyDescent="0.3">
      <c r="BV6886" s="32">
        <f t="shared" ca="1" si="107"/>
        <v>121</v>
      </c>
    </row>
    <row r="6887" spans="74:74" x14ac:dyDescent="0.3">
      <c r="BV6887" s="32">
        <f t="shared" ca="1" si="107"/>
        <v>121</v>
      </c>
    </row>
    <row r="6888" spans="74:74" x14ac:dyDescent="0.3">
      <c r="BV6888" s="32">
        <f t="shared" ca="1" si="107"/>
        <v>121</v>
      </c>
    </row>
    <row r="6889" spans="74:74" x14ac:dyDescent="0.3">
      <c r="BV6889" s="32">
        <f t="shared" ca="1" si="107"/>
        <v>121</v>
      </c>
    </row>
    <row r="6890" spans="74:74" x14ac:dyDescent="0.3">
      <c r="BV6890" s="32">
        <f t="shared" ca="1" si="107"/>
        <v>121</v>
      </c>
    </row>
    <row r="6891" spans="74:74" x14ac:dyDescent="0.3">
      <c r="BV6891" s="32">
        <f t="shared" ca="1" si="107"/>
        <v>121</v>
      </c>
    </row>
    <row r="6892" spans="74:74" x14ac:dyDescent="0.3">
      <c r="BV6892" s="32">
        <f t="shared" ca="1" si="107"/>
        <v>121</v>
      </c>
    </row>
    <row r="6893" spans="74:74" x14ac:dyDescent="0.3">
      <c r="BV6893" s="32">
        <f t="shared" ca="1" si="107"/>
        <v>121</v>
      </c>
    </row>
    <row r="6894" spans="74:74" x14ac:dyDescent="0.3">
      <c r="BV6894" s="32">
        <f t="shared" ca="1" si="107"/>
        <v>121</v>
      </c>
    </row>
    <row r="6895" spans="74:74" x14ac:dyDescent="0.3">
      <c r="BV6895" s="32">
        <f t="shared" ca="1" si="107"/>
        <v>121</v>
      </c>
    </row>
    <row r="6896" spans="74:74" x14ac:dyDescent="0.3">
      <c r="BV6896" s="32">
        <f t="shared" ca="1" si="107"/>
        <v>121</v>
      </c>
    </row>
    <row r="6897" spans="74:74" x14ac:dyDescent="0.3">
      <c r="BV6897" s="32">
        <f t="shared" ca="1" si="107"/>
        <v>121</v>
      </c>
    </row>
    <row r="6898" spans="74:74" x14ac:dyDescent="0.3">
      <c r="BV6898" s="32">
        <f t="shared" ca="1" si="107"/>
        <v>121</v>
      </c>
    </row>
    <row r="6899" spans="74:74" x14ac:dyDescent="0.3">
      <c r="BV6899" s="32">
        <f t="shared" ca="1" si="107"/>
        <v>121</v>
      </c>
    </row>
    <row r="6900" spans="74:74" x14ac:dyDescent="0.3">
      <c r="BV6900" s="32">
        <f t="shared" ca="1" si="107"/>
        <v>121</v>
      </c>
    </row>
    <row r="6901" spans="74:74" x14ac:dyDescent="0.3">
      <c r="BV6901" s="32">
        <f t="shared" ca="1" si="107"/>
        <v>121</v>
      </c>
    </row>
    <row r="6902" spans="74:74" x14ac:dyDescent="0.3">
      <c r="BV6902" s="32">
        <f t="shared" ca="1" si="107"/>
        <v>121</v>
      </c>
    </row>
    <row r="6903" spans="74:74" x14ac:dyDescent="0.3">
      <c r="BV6903" s="32">
        <f t="shared" ca="1" si="107"/>
        <v>121</v>
      </c>
    </row>
    <row r="6904" spans="74:74" x14ac:dyDescent="0.3">
      <c r="BV6904" s="32">
        <f t="shared" ca="1" si="107"/>
        <v>121</v>
      </c>
    </row>
    <row r="6905" spans="74:74" x14ac:dyDescent="0.3">
      <c r="BV6905" s="32">
        <f t="shared" ca="1" si="107"/>
        <v>121</v>
      </c>
    </row>
    <row r="6906" spans="74:74" x14ac:dyDescent="0.3">
      <c r="BV6906" s="32">
        <f t="shared" ca="1" si="107"/>
        <v>121</v>
      </c>
    </row>
    <row r="6907" spans="74:74" x14ac:dyDescent="0.3">
      <c r="BV6907" s="32">
        <f t="shared" ca="1" si="107"/>
        <v>121</v>
      </c>
    </row>
    <row r="6908" spans="74:74" x14ac:dyDescent="0.3">
      <c r="BV6908" s="32">
        <f t="shared" ca="1" si="107"/>
        <v>121</v>
      </c>
    </row>
    <row r="6909" spans="74:74" x14ac:dyDescent="0.3">
      <c r="BV6909" s="32">
        <f t="shared" ca="1" si="107"/>
        <v>121</v>
      </c>
    </row>
    <row r="6910" spans="74:74" x14ac:dyDescent="0.3">
      <c r="BV6910" s="32">
        <f t="shared" ca="1" si="107"/>
        <v>121</v>
      </c>
    </row>
    <row r="6911" spans="74:74" x14ac:dyDescent="0.3">
      <c r="BV6911" s="32">
        <f t="shared" ca="1" si="107"/>
        <v>121</v>
      </c>
    </row>
    <row r="6912" spans="74:74" x14ac:dyDescent="0.3">
      <c r="BV6912" s="32">
        <f t="shared" ca="1" si="107"/>
        <v>121</v>
      </c>
    </row>
    <row r="6913" spans="74:74" x14ac:dyDescent="0.3">
      <c r="BV6913" s="32">
        <f t="shared" ca="1" si="107"/>
        <v>121</v>
      </c>
    </row>
    <row r="6914" spans="74:74" x14ac:dyDescent="0.3">
      <c r="BV6914" s="32">
        <f t="shared" ca="1" si="107"/>
        <v>121</v>
      </c>
    </row>
    <row r="6915" spans="74:74" x14ac:dyDescent="0.3">
      <c r="BV6915" s="32">
        <f t="shared" ca="1" si="107"/>
        <v>121</v>
      </c>
    </row>
    <row r="6916" spans="74:74" x14ac:dyDescent="0.3">
      <c r="BV6916" s="32">
        <f t="shared" ca="1" si="107"/>
        <v>121</v>
      </c>
    </row>
    <row r="6917" spans="74:74" x14ac:dyDescent="0.3">
      <c r="BV6917" s="32">
        <f t="shared" ca="1" si="107"/>
        <v>121</v>
      </c>
    </row>
    <row r="6918" spans="74:74" x14ac:dyDescent="0.3">
      <c r="BV6918" s="32">
        <f t="shared" ca="1" si="107"/>
        <v>121</v>
      </c>
    </row>
    <row r="6919" spans="74:74" x14ac:dyDescent="0.3">
      <c r="BV6919" s="32">
        <f t="shared" ca="1" si="107"/>
        <v>121</v>
      </c>
    </row>
    <row r="6920" spans="74:74" x14ac:dyDescent="0.3">
      <c r="BV6920" s="32">
        <f t="shared" ca="1" si="107"/>
        <v>121</v>
      </c>
    </row>
    <row r="6921" spans="74:74" x14ac:dyDescent="0.3">
      <c r="BV6921" s="32">
        <f t="shared" ca="1" si="107"/>
        <v>121</v>
      </c>
    </row>
    <row r="6922" spans="74:74" x14ac:dyDescent="0.3">
      <c r="BV6922" s="32">
        <f t="shared" ca="1" si="107"/>
        <v>121</v>
      </c>
    </row>
    <row r="6923" spans="74:74" x14ac:dyDescent="0.3">
      <c r="BV6923" s="32">
        <f t="shared" ca="1" si="107"/>
        <v>121</v>
      </c>
    </row>
    <row r="6924" spans="74:74" x14ac:dyDescent="0.3">
      <c r="BV6924" s="32">
        <f t="shared" ca="1" si="107"/>
        <v>121</v>
      </c>
    </row>
    <row r="6925" spans="74:74" x14ac:dyDescent="0.3">
      <c r="BV6925" s="32">
        <f t="shared" ref="BV6925:BV6988" ca="1" si="108">INT((TODAY()-$I6925)/365)</f>
        <v>121</v>
      </c>
    </row>
    <row r="6926" spans="74:74" x14ac:dyDescent="0.3">
      <c r="BV6926" s="32">
        <f t="shared" ca="1" si="108"/>
        <v>121</v>
      </c>
    </row>
    <row r="6927" spans="74:74" x14ac:dyDescent="0.3">
      <c r="BV6927" s="32">
        <f t="shared" ca="1" si="108"/>
        <v>121</v>
      </c>
    </row>
    <row r="6928" spans="74:74" x14ac:dyDescent="0.3">
      <c r="BV6928" s="32">
        <f t="shared" ca="1" si="108"/>
        <v>121</v>
      </c>
    </row>
    <row r="6929" spans="74:74" x14ac:dyDescent="0.3">
      <c r="BV6929" s="32">
        <f t="shared" ca="1" si="108"/>
        <v>121</v>
      </c>
    </row>
    <row r="6930" spans="74:74" x14ac:dyDescent="0.3">
      <c r="BV6930" s="32">
        <f t="shared" ca="1" si="108"/>
        <v>121</v>
      </c>
    </row>
    <row r="6931" spans="74:74" x14ac:dyDescent="0.3">
      <c r="BV6931" s="32">
        <f t="shared" ca="1" si="108"/>
        <v>121</v>
      </c>
    </row>
    <row r="6932" spans="74:74" x14ac:dyDescent="0.3">
      <c r="BV6932" s="32">
        <f t="shared" ca="1" si="108"/>
        <v>121</v>
      </c>
    </row>
    <row r="6933" spans="74:74" x14ac:dyDescent="0.3">
      <c r="BV6933" s="32">
        <f t="shared" ca="1" si="108"/>
        <v>121</v>
      </c>
    </row>
    <row r="6934" spans="74:74" x14ac:dyDescent="0.3">
      <c r="BV6934" s="32">
        <f t="shared" ca="1" si="108"/>
        <v>121</v>
      </c>
    </row>
    <row r="6935" spans="74:74" x14ac:dyDescent="0.3">
      <c r="BV6935" s="32">
        <f t="shared" ca="1" si="108"/>
        <v>121</v>
      </c>
    </row>
    <row r="6936" spans="74:74" x14ac:dyDescent="0.3">
      <c r="BV6936" s="32">
        <f t="shared" ca="1" si="108"/>
        <v>121</v>
      </c>
    </row>
    <row r="6937" spans="74:74" x14ac:dyDescent="0.3">
      <c r="BV6937" s="32">
        <f t="shared" ca="1" si="108"/>
        <v>121</v>
      </c>
    </row>
    <row r="6938" spans="74:74" x14ac:dyDescent="0.3">
      <c r="BV6938" s="32">
        <f t="shared" ca="1" si="108"/>
        <v>121</v>
      </c>
    </row>
    <row r="6939" spans="74:74" x14ac:dyDescent="0.3">
      <c r="BV6939" s="32">
        <f t="shared" ca="1" si="108"/>
        <v>121</v>
      </c>
    </row>
    <row r="6940" spans="74:74" x14ac:dyDescent="0.3">
      <c r="BV6940" s="32">
        <f t="shared" ca="1" si="108"/>
        <v>121</v>
      </c>
    </row>
    <row r="6941" spans="74:74" x14ac:dyDescent="0.3">
      <c r="BV6941" s="32">
        <f t="shared" ca="1" si="108"/>
        <v>121</v>
      </c>
    </row>
    <row r="6942" spans="74:74" x14ac:dyDescent="0.3">
      <c r="BV6942" s="32">
        <f t="shared" ca="1" si="108"/>
        <v>121</v>
      </c>
    </row>
    <row r="6943" spans="74:74" x14ac:dyDescent="0.3">
      <c r="BV6943" s="32">
        <f t="shared" ca="1" si="108"/>
        <v>121</v>
      </c>
    </row>
    <row r="6944" spans="74:74" x14ac:dyDescent="0.3">
      <c r="BV6944" s="32">
        <f t="shared" ca="1" si="108"/>
        <v>121</v>
      </c>
    </row>
    <row r="6945" spans="74:74" x14ac:dyDescent="0.3">
      <c r="BV6945" s="32">
        <f t="shared" ca="1" si="108"/>
        <v>121</v>
      </c>
    </row>
    <row r="6946" spans="74:74" x14ac:dyDescent="0.3">
      <c r="BV6946" s="32">
        <f t="shared" ca="1" si="108"/>
        <v>121</v>
      </c>
    </row>
    <row r="6947" spans="74:74" x14ac:dyDescent="0.3">
      <c r="BV6947" s="32">
        <f t="shared" ca="1" si="108"/>
        <v>121</v>
      </c>
    </row>
    <row r="6948" spans="74:74" x14ac:dyDescent="0.3">
      <c r="BV6948" s="32">
        <f t="shared" ca="1" si="108"/>
        <v>121</v>
      </c>
    </row>
    <row r="6949" spans="74:74" x14ac:dyDescent="0.3">
      <c r="BV6949" s="32">
        <f t="shared" ca="1" si="108"/>
        <v>121</v>
      </c>
    </row>
    <row r="6950" spans="74:74" x14ac:dyDescent="0.3">
      <c r="BV6950" s="32">
        <f t="shared" ca="1" si="108"/>
        <v>121</v>
      </c>
    </row>
    <row r="6951" spans="74:74" x14ac:dyDescent="0.3">
      <c r="BV6951" s="32">
        <f t="shared" ca="1" si="108"/>
        <v>121</v>
      </c>
    </row>
    <row r="6952" spans="74:74" x14ac:dyDescent="0.3">
      <c r="BV6952" s="32">
        <f t="shared" ca="1" si="108"/>
        <v>121</v>
      </c>
    </row>
    <row r="6953" spans="74:74" x14ac:dyDescent="0.3">
      <c r="BV6953" s="32">
        <f t="shared" ca="1" si="108"/>
        <v>121</v>
      </c>
    </row>
    <row r="6954" spans="74:74" x14ac:dyDescent="0.3">
      <c r="BV6954" s="32">
        <f t="shared" ca="1" si="108"/>
        <v>121</v>
      </c>
    </row>
    <row r="6955" spans="74:74" x14ac:dyDescent="0.3">
      <c r="BV6955" s="32">
        <f t="shared" ca="1" si="108"/>
        <v>121</v>
      </c>
    </row>
    <row r="6956" spans="74:74" x14ac:dyDescent="0.3">
      <c r="BV6956" s="32">
        <f t="shared" ca="1" si="108"/>
        <v>121</v>
      </c>
    </row>
    <row r="6957" spans="74:74" x14ac:dyDescent="0.3">
      <c r="BV6957" s="32">
        <f t="shared" ca="1" si="108"/>
        <v>121</v>
      </c>
    </row>
    <row r="6958" spans="74:74" x14ac:dyDescent="0.3">
      <c r="BV6958" s="32">
        <f t="shared" ca="1" si="108"/>
        <v>121</v>
      </c>
    </row>
    <row r="6959" spans="74:74" x14ac:dyDescent="0.3">
      <c r="BV6959" s="32">
        <f t="shared" ca="1" si="108"/>
        <v>121</v>
      </c>
    </row>
    <row r="6960" spans="74:74" x14ac:dyDescent="0.3">
      <c r="BV6960" s="32">
        <f t="shared" ca="1" si="108"/>
        <v>121</v>
      </c>
    </row>
    <row r="6961" spans="74:74" x14ac:dyDescent="0.3">
      <c r="BV6961" s="32">
        <f t="shared" ca="1" si="108"/>
        <v>121</v>
      </c>
    </row>
    <row r="6962" spans="74:74" x14ac:dyDescent="0.3">
      <c r="BV6962" s="32">
        <f t="shared" ca="1" si="108"/>
        <v>121</v>
      </c>
    </row>
    <row r="6963" spans="74:74" x14ac:dyDescent="0.3">
      <c r="BV6963" s="32">
        <f t="shared" ca="1" si="108"/>
        <v>121</v>
      </c>
    </row>
    <row r="6964" spans="74:74" x14ac:dyDescent="0.3">
      <c r="BV6964" s="32">
        <f t="shared" ca="1" si="108"/>
        <v>121</v>
      </c>
    </row>
    <row r="6965" spans="74:74" x14ac:dyDescent="0.3">
      <c r="BV6965" s="32">
        <f t="shared" ca="1" si="108"/>
        <v>121</v>
      </c>
    </row>
    <row r="6966" spans="74:74" x14ac:dyDescent="0.3">
      <c r="BV6966" s="32">
        <f t="shared" ca="1" si="108"/>
        <v>121</v>
      </c>
    </row>
    <row r="6967" spans="74:74" x14ac:dyDescent="0.3">
      <c r="BV6967" s="32">
        <f t="shared" ca="1" si="108"/>
        <v>121</v>
      </c>
    </row>
    <row r="6968" spans="74:74" x14ac:dyDescent="0.3">
      <c r="BV6968" s="32">
        <f t="shared" ca="1" si="108"/>
        <v>121</v>
      </c>
    </row>
    <row r="6969" spans="74:74" x14ac:dyDescent="0.3">
      <c r="BV6969" s="32">
        <f t="shared" ca="1" si="108"/>
        <v>121</v>
      </c>
    </row>
    <row r="6970" spans="74:74" x14ac:dyDescent="0.3">
      <c r="BV6970" s="32">
        <f t="shared" ca="1" si="108"/>
        <v>121</v>
      </c>
    </row>
    <row r="6971" spans="74:74" x14ac:dyDescent="0.3">
      <c r="BV6971" s="32">
        <f t="shared" ca="1" si="108"/>
        <v>121</v>
      </c>
    </row>
    <row r="6972" spans="74:74" x14ac:dyDescent="0.3">
      <c r="BV6972" s="32">
        <f t="shared" ca="1" si="108"/>
        <v>121</v>
      </c>
    </row>
    <row r="6973" spans="74:74" x14ac:dyDescent="0.3">
      <c r="BV6973" s="32">
        <f t="shared" ca="1" si="108"/>
        <v>121</v>
      </c>
    </row>
    <row r="6974" spans="74:74" x14ac:dyDescent="0.3">
      <c r="BV6974" s="32">
        <f t="shared" ca="1" si="108"/>
        <v>121</v>
      </c>
    </row>
    <row r="6975" spans="74:74" x14ac:dyDescent="0.3">
      <c r="BV6975" s="32">
        <f t="shared" ca="1" si="108"/>
        <v>121</v>
      </c>
    </row>
    <row r="6976" spans="74:74" x14ac:dyDescent="0.3">
      <c r="BV6976" s="32">
        <f t="shared" ca="1" si="108"/>
        <v>121</v>
      </c>
    </row>
    <row r="6977" spans="74:74" x14ac:dyDescent="0.3">
      <c r="BV6977" s="32">
        <f t="shared" ca="1" si="108"/>
        <v>121</v>
      </c>
    </row>
    <row r="6978" spans="74:74" x14ac:dyDescent="0.3">
      <c r="BV6978" s="32">
        <f t="shared" ca="1" si="108"/>
        <v>121</v>
      </c>
    </row>
    <row r="6979" spans="74:74" x14ac:dyDescent="0.3">
      <c r="BV6979" s="32">
        <f t="shared" ca="1" si="108"/>
        <v>121</v>
      </c>
    </row>
    <row r="6980" spans="74:74" x14ac:dyDescent="0.3">
      <c r="BV6980" s="32">
        <f t="shared" ca="1" si="108"/>
        <v>121</v>
      </c>
    </row>
    <row r="6981" spans="74:74" x14ac:dyDescent="0.3">
      <c r="BV6981" s="32">
        <f t="shared" ca="1" si="108"/>
        <v>121</v>
      </c>
    </row>
    <row r="6982" spans="74:74" x14ac:dyDescent="0.3">
      <c r="BV6982" s="32">
        <f t="shared" ca="1" si="108"/>
        <v>121</v>
      </c>
    </row>
    <row r="6983" spans="74:74" x14ac:dyDescent="0.3">
      <c r="BV6983" s="32">
        <f t="shared" ca="1" si="108"/>
        <v>121</v>
      </c>
    </row>
    <row r="6984" spans="74:74" x14ac:dyDescent="0.3">
      <c r="BV6984" s="32">
        <f t="shared" ca="1" si="108"/>
        <v>121</v>
      </c>
    </row>
    <row r="6985" spans="74:74" x14ac:dyDescent="0.3">
      <c r="BV6985" s="32">
        <f t="shared" ca="1" si="108"/>
        <v>121</v>
      </c>
    </row>
    <row r="6986" spans="74:74" x14ac:dyDescent="0.3">
      <c r="BV6986" s="32">
        <f t="shared" ca="1" si="108"/>
        <v>121</v>
      </c>
    </row>
    <row r="6987" spans="74:74" x14ac:dyDescent="0.3">
      <c r="BV6987" s="32">
        <f t="shared" ca="1" si="108"/>
        <v>121</v>
      </c>
    </row>
    <row r="6988" spans="74:74" x14ac:dyDescent="0.3">
      <c r="BV6988" s="32">
        <f t="shared" ca="1" si="108"/>
        <v>121</v>
      </c>
    </row>
    <row r="6989" spans="74:74" x14ac:dyDescent="0.3">
      <c r="BV6989" s="32">
        <f t="shared" ref="BV6989:BV7052" ca="1" si="109">INT((TODAY()-$I6989)/365)</f>
        <v>121</v>
      </c>
    </row>
    <row r="6990" spans="74:74" x14ac:dyDescent="0.3">
      <c r="BV6990" s="32">
        <f t="shared" ca="1" si="109"/>
        <v>121</v>
      </c>
    </row>
    <row r="6991" spans="74:74" x14ac:dyDescent="0.3">
      <c r="BV6991" s="32">
        <f t="shared" ca="1" si="109"/>
        <v>121</v>
      </c>
    </row>
    <row r="6992" spans="74:74" x14ac:dyDescent="0.3">
      <c r="BV6992" s="32">
        <f t="shared" ca="1" si="109"/>
        <v>121</v>
      </c>
    </row>
    <row r="6993" spans="74:74" x14ac:dyDescent="0.3">
      <c r="BV6993" s="32">
        <f t="shared" ca="1" si="109"/>
        <v>121</v>
      </c>
    </row>
    <row r="6994" spans="74:74" x14ac:dyDescent="0.3">
      <c r="BV6994" s="32">
        <f t="shared" ca="1" si="109"/>
        <v>121</v>
      </c>
    </row>
    <row r="6995" spans="74:74" x14ac:dyDescent="0.3">
      <c r="BV6995" s="32">
        <f t="shared" ca="1" si="109"/>
        <v>121</v>
      </c>
    </row>
    <row r="6996" spans="74:74" x14ac:dyDescent="0.3">
      <c r="BV6996" s="32">
        <f t="shared" ca="1" si="109"/>
        <v>121</v>
      </c>
    </row>
    <row r="6997" spans="74:74" x14ac:dyDescent="0.3">
      <c r="BV6997" s="32">
        <f t="shared" ca="1" si="109"/>
        <v>121</v>
      </c>
    </row>
    <row r="6998" spans="74:74" x14ac:dyDescent="0.3">
      <c r="BV6998" s="32">
        <f t="shared" ca="1" si="109"/>
        <v>121</v>
      </c>
    </row>
    <row r="6999" spans="74:74" x14ac:dyDescent="0.3">
      <c r="BV6999" s="32">
        <f t="shared" ca="1" si="109"/>
        <v>121</v>
      </c>
    </row>
    <row r="7000" spans="74:74" x14ac:dyDescent="0.3">
      <c r="BV7000" s="32">
        <f t="shared" ca="1" si="109"/>
        <v>121</v>
      </c>
    </row>
    <row r="7001" spans="74:74" x14ac:dyDescent="0.3">
      <c r="BV7001" s="32">
        <f t="shared" ca="1" si="109"/>
        <v>121</v>
      </c>
    </row>
    <row r="7002" spans="74:74" x14ac:dyDescent="0.3">
      <c r="BV7002" s="32">
        <f t="shared" ca="1" si="109"/>
        <v>121</v>
      </c>
    </row>
    <row r="7003" spans="74:74" x14ac:dyDescent="0.3">
      <c r="BV7003" s="32">
        <f t="shared" ca="1" si="109"/>
        <v>121</v>
      </c>
    </row>
    <row r="7004" spans="74:74" x14ac:dyDescent="0.3">
      <c r="BV7004" s="32">
        <f t="shared" ca="1" si="109"/>
        <v>121</v>
      </c>
    </row>
    <row r="7005" spans="74:74" x14ac:dyDescent="0.3">
      <c r="BV7005" s="32">
        <f t="shared" ca="1" si="109"/>
        <v>121</v>
      </c>
    </row>
    <row r="7006" spans="74:74" x14ac:dyDescent="0.3">
      <c r="BV7006" s="32">
        <f t="shared" ca="1" si="109"/>
        <v>121</v>
      </c>
    </row>
    <row r="7007" spans="74:74" x14ac:dyDescent="0.3">
      <c r="BV7007" s="32">
        <f t="shared" ca="1" si="109"/>
        <v>121</v>
      </c>
    </row>
    <row r="7008" spans="74:74" x14ac:dyDescent="0.3">
      <c r="BV7008" s="32">
        <f t="shared" ca="1" si="109"/>
        <v>121</v>
      </c>
    </row>
    <row r="7009" spans="74:74" x14ac:dyDescent="0.3">
      <c r="BV7009" s="32">
        <f t="shared" ca="1" si="109"/>
        <v>121</v>
      </c>
    </row>
    <row r="7010" spans="74:74" x14ac:dyDescent="0.3">
      <c r="BV7010" s="32">
        <f t="shared" ca="1" si="109"/>
        <v>121</v>
      </c>
    </row>
    <row r="7011" spans="74:74" x14ac:dyDescent="0.3">
      <c r="BV7011" s="32">
        <f t="shared" ca="1" si="109"/>
        <v>121</v>
      </c>
    </row>
    <row r="7012" spans="74:74" x14ac:dyDescent="0.3">
      <c r="BV7012" s="32">
        <f t="shared" ca="1" si="109"/>
        <v>121</v>
      </c>
    </row>
    <row r="7013" spans="74:74" x14ac:dyDescent="0.3">
      <c r="BV7013" s="32">
        <f t="shared" ca="1" si="109"/>
        <v>121</v>
      </c>
    </row>
    <row r="7014" spans="74:74" x14ac:dyDescent="0.3">
      <c r="BV7014" s="32">
        <f t="shared" ca="1" si="109"/>
        <v>121</v>
      </c>
    </row>
    <row r="7015" spans="74:74" x14ac:dyDescent="0.3">
      <c r="BV7015" s="32">
        <f t="shared" ca="1" si="109"/>
        <v>121</v>
      </c>
    </row>
    <row r="7016" spans="74:74" x14ac:dyDescent="0.3">
      <c r="BV7016" s="32">
        <f t="shared" ca="1" si="109"/>
        <v>121</v>
      </c>
    </row>
    <row r="7017" spans="74:74" x14ac:dyDescent="0.3">
      <c r="BV7017" s="32">
        <f t="shared" ca="1" si="109"/>
        <v>121</v>
      </c>
    </row>
    <row r="7018" spans="74:74" x14ac:dyDescent="0.3">
      <c r="BV7018" s="32">
        <f t="shared" ca="1" si="109"/>
        <v>121</v>
      </c>
    </row>
    <row r="7019" spans="74:74" x14ac:dyDescent="0.3">
      <c r="BV7019" s="32">
        <f t="shared" ca="1" si="109"/>
        <v>121</v>
      </c>
    </row>
    <row r="7020" spans="74:74" x14ac:dyDescent="0.3">
      <c r="BV7020" s="32">
        <f t="shared" ca="1" si="109"/>
        <v>121</v>
      </c>
    </row>
    <row r="7021" spans="74:74" x14ac:dyDescent="0.3">
      <c r="BV7021" s="32">
        <f t="shared" ca="1" si="109"/>
        <v>121</v>
      </c>
    </row>
    <row r="7022" spans="74:74" x14ac:dyDescent="0.3">
      <c r="BV7022" s="32">
        <f t="shared" ca="1" si="109"/>
        <v>121</v>
      </c>
    </row>
    <row r="7023" spans="74:74" x14ac:dyDescent="0.3">
      <c r="BV7023" s="32">
        <f t="shared" ca="1" si="109"/>
        <v>121</v>
      </c>
    </row>
    <row r="7024" spans="74:74" x14ac:dyDescent="0.3">
      <c r="BV7024" s="32">
        <f t="shared" ca="1" si="109"/>
        <v>121</v>
      </c>
    </row>
    <row r="7025" spans="74:74" x14ac:dyDescent="0.3">
      <c r="BV7025" s="32">
        <f t="shared" ca="1" si="109"/>
        <v>121</v>
      </c>
    </row>
    <row r="7026" spans="74:74" x14ac:dyDescent="0.3">
      <c r="BV7026" s="32">
        <f t="shared" ca="1" si="109"/>
        <v>121</v>
      </c>
    </row>
    <row r="7027" spans="74:74" x14ac:dyDescent="0.3">
      <c r="BV7027" s="32">
        <f t="shared" ca="1" si="109"/>
        <v>121</v>
      </c>
    </row>
    <row r="7028" spans="74:74" x14ac:dyDescent="0.3">
      <c r="BV7028" s="32">
        <f t="shared" ca="1" si="109"/>
        <v>121</v>
      </c>
    </row>
    <row r="7029" spans="74:74" x14ac:dyDescent="0.3">
      <c r="BV7029" s="32">
        <f t="shared" ca="1" si="109"/>
        <v>121</v>
      </c>
    </row>
    <row r="7030" spans="74:74" x14ac:dyDescent="0.3">
      <c r="BV7030" s="32">
        <f t="shared" ca="1" si="109"/>
        <v>121</v>
      </c>
    </row>
    <row r="7031" spans="74:74" x14ac:dyDescent="0.3">
      <c r="BV7031" s="32">
        <f t="shared" ca="1" si="109"/>
        <v>121</v>
      </c>
    </row>
    <row r="7032" spans="74:74" x14ac:dyDescent="0.3">
      <c r="BV7032" s="32">
        <f t="shared" ca="1" si="109"/>
        <v>121</v>
      </c>
    </row>
    <row r="7033" spans="74:74" x14ac:dyDescent="0.3">
      <c r="BV7033" s="32">
        <f t="shared" ca="1" si="109"/>
        <v>121</v>
      </c>
    </row>
    <row r="7034" spans="74:74" x14ac:dyDescent="0.3">
      <c r="BV7034" s="32">
        <f t="shared" ca="1" si="109"/>
        <v>121</v>
      </c>
    </row>
    <row r="7035" spans="74:74" x14ac:dyDescent="0.3">
      <c r="BV7035" s="32">
        <f t="shared" ca="1" si="109"/>
        <v>121</v>
      </c>
    </row>
    <row r="7036" spans="74:74" x14ac:dyDescent="0.3">
      <c r="BV7036" s="32">
        <f t="shared" ca="1" si="109"/>
        <v>121</v>
      </c>
    </row>
    <row r="7037" spans="74:74" x14ac:dyDescent="0.3">
      <c r="BV7037" s="32">
        <f t="shared" ca="1" si="109"/>
        <v>121</v>
      </c>
    </row>
    <row r="7038" spans="74:74" x14ac:dyDescent="0.3">
      <c r="BV7038" s="32">
        <f t="shared" ca="1" si="109"/>
        <v>121</v>
      </c>
    </row>
    <row r="7039" spans="74:74" x14ac:dyDescent="0.3">
      <c r="BV7039" s="32">
        <f t="shared" ca="1" si="109"/>
        <v>121</v>
      </c>
    </row>
    <row r="7040" spans="74:74" x14ac:dyDescent="0.3">
      <c r="BV7040" s="32">
        <f t="shared" ca="1" si="109"/>
        <v>121</v>
      </c>
    </row>
    <row r="7041" spans="74:74" x14ac:dyDescent="0.3">
      <c r="BV7041" s="32">
        <f t="shared" ca="1" si="109"/>
        <v>121</v>
      </c>
    </row>
    <row r="7042" spans="74:74" x14ac:dyDescent="0.3">
      <c r="BV7042" s="32">
        <f t="shared" ca="1" si="109"/>
        <v>121</v>
      </c>
    </row>
    <row r="7043" spans="74:74" x14ac:dyDescent="0.3">
      <c r="BV7043" s="32">
        <f t="shared" ca="1" si="109"/>
        <v>121</v>
      </c>
    </row>
    <row r="7044" spans="74:74" x14ac:dyDescent="0.3">
      <c r="BV7044" s="32">
        <f t="shared" ca="1" si="109"/>
        <v>121</v>
      </c>
    </row>
    <row r="7045" spans="74:74" x14ac:dyDescent="0.3">
      <c r="BV7045" s="32">
        <f t="shared" ca="1" si="109"/>
        <v>121</v>
      </c>
    </row>
    <row r="7046" spans="74:74" x14ac:dyDescent="0.3">
      <c r="BV7046" s="32">
        <f t="shared" ca="1" si="109"/>
        <v>121</v>
      </c>
    </row>
    <row r="7047" spans="74:74" x14ac:dyDescent="0.3">
      <c r="BV7047" s="32">
        <f t="shared" ca="1" si="109"/>
        <v>121</v>
      </c>
    </row>
    <row r="7048" spans="74:74" x14ac:dyDescent="0.3">
      <c r="BV7048" s="32">
        <f t="shared" ca="1" si="109"/>
        <v>121</v>
      </c>
    </row>
    <row r="7049" spans="74:74" x14ac:dyDescent="0.3">
      <c r="BV7049" s="32">
        <f t="shared" ca="1" si="109"/>
        <v>121</v>
      </c>
    </row>
    <row r="7050" spans="74:74" x14ac:dyDescent="0.3">
      <c r="BV7050" s="32">
        <f t="shared" ca="1" si="109"/>
        <v>121</v>
      </c>
    </row>
    <row r="7051" spans="74:74" x14ac:dyDescent="0.3">
      <c r="BV7051" s="32">
        <f t="shared" ca="1" si="109"/>
        <v>121</v>
      </c>
    </row>
    <row r="7052" spans="74:74" x14ac:dyDescent="0.3">
      <c r="BV7052" s="32">
        <f t="shared" ca="1" si="109"/>
        <v>121</v>
      </c>
    </row>
    <row r="7053" spans="74:74" x14ac:dyDescent="0.3">
      <c r="BV7053" s="32">
        <f t="shared" ref="BV7053:BV7116" ca="1" si="110">INT((TODAY()-$I7053)/365)</f>
        <v>121</v>
      </c>
    </row>
    <row r="7054" spans="74:74" x14ac:dyDescent="0.3">
      <c r="BV7054" s="32">
        <f t="shared" ca="1" si="110"/>
        <v>121</v>
      </c>
    </row>
    <row r="7055" spans="74:74" x14ac:dyDescent="0.3">
      <c r="BV7055" s="32">
        <f t="shared" ca="1" si="110"/>
        <v>121</v>
      </c>
    </row>
    <row r="7056" spans="74:74" x14ac:dyDescent="0.3">
      <c r="BV7056" s="32">
        <f t="shared" ca="1" si="110"/>
        <v>121</v>
      </c>
    </row>
    <row r="7057" spans="74:74" x14ac:dyDescent="0.3">
      <c r="BV7057" s="32">
        <f t="shared" ca="1" si="110"/>
        <v>121</v>
      </c>
    </row>
    <row r="7058" spans="74:74" x14ac:dyDescent="0.3">
      <c r="BV7058" s="32">
        <f t="shared" ca="1" si="110"/>
        <v>121</v>
      </c>
    </row>
    <row r="7059" spans="74:74" x14ac:dyDescent="0.3">
      <c r="BV7059" s="32">
        <f t="shared" ca="1" si="110"/>
        <v>121</v>
      </c>
    </row>
    <row r="7060" spans="74:74" x14ac:dyDescent="0.3">
      <c r="BV7060" s="32">
        <f t="shared" ca="1" si="110"/>
        <v>121</v>
      </c>
    </row>
    <row r="7061" spans="74:74" x14ac:dyDescent="0.3">
      <c r="BV7061" s="32">
        <f t="shared" ca="1" si="110"/>
        <v>121</v>
      </c>
    </row>
    <row r="7062" spans="74:74" x14ac:dyDescent="0.3">
      <c r="BV7062" s="32">
        <f t="shared" ca="1" si="110"/>
        <v>121</v>
      </c>
    </row>
    <row r="7063" spans="74:74" x14ac:dyDescent="0.3">
      <c r="BV7063" s="32">
        <f t="shared" ca="1" si="110"/>
        <v>121</v>
      </c>
    </row>
    <row r="7064" spans="74:74" x14ac:dyDescent="0.3">
      <c r="BV7064" s="32">
        <f t="shared" ca="1" si="110"/>
        <v>121</v>
      </c>
    </row>
    <row r="7065" spans="74:74" x14ac:dyDescent="0.3">
      <c r="BV7065" s="32">
        <f t="shared" ca="1" si="110"/>
        <v>121</v>
      </c>
    </row>
    <row r="7066" spans="74:74" x14ac:dyDescent="0.3">
      <c r="BV7066" s="32">
        <f t="shared" ca="1" si="110"/>
        <v>121</v>
      </c>
    </row>
    <row r="7067" spans="74:74" x14ac:dyDescent="0.3">
      <c r="BV7067" s="32">
        <f t="shared" ca="1" si="110"/>
        <v>121</v>
      </c>
    </row>
    <row r="7068" spans="74:74" x14ac:dyDescent="0.3">
      <c r="BV7068" s="32">
        <f t="shared" ca="1" si="110"/>
        <v>121</v>
      </c>
    </row>
    <row r="7069" spans="74:74" x14ac:dyDescent="0.3">
      <c r="BV7069" s="32">
        <f t="shared" ca="1" si="110"/>
        <v>121</v>
      </c>
    </row>
    <row r="7070" spans="74:74" x14ac:dyDescent="0.3">
      <c r="BV7070" s="32">
        <f t="shared" ca="1" si="110"/>
        <v>121</v>
      </c>
    </row>
    <row r="7071" spans="74:74" x14ac:dyDescent="0.3">
      <c r="BV7071" s="32">
        <f t="shared" ca="1" si="110"/>
        <v>121</v>
      </c>
    </row>
    <row r="7072" spans="74:74" x14ac:dyDescent="0.3">
      <c r="BV7072" s="32">
        <f t="shared" ca="1" si="110"/>
        <v>121</v>
      </c>
    </row>
    <row r="7073" spans="74:74" x14ac:dyDescent="0.3">
      <c r="BV7073" s="32">
        <f t="shared" ca="1" si="110"/>
        <v>121</v>
      </c>
    </row>
    <row r="7074" spans="74:74" x14ac:dyDescent="0.3">
      <c r="BV7074" s="32">
        <f t="shared" ca="1" si="110"/>
        <v>121</v>
      </c>
    </row>
    <row r="7075" spans="74:74" x14ac:dyDescent="0.3">
      <c r="BV7075" s="32">
        <f t="shared" ca="1" si="110"/>
        <v>121</v>
      </c>
    </row>
    <row r="7076" spans="74:74" x14ac:dyDescent="0.3">
      <c r="BV7076" s="32">
        <f t="shared" ca="1" si="110"/>
        <v>121</v>
      </c>
    </row>
    <row r="7077" spans="74:74" x14ac:dyDescent="0.3">
      <c r="BV7077" s="32">
        <f t="shared" ca="1" si="110"/>
        <v>121</v>
      </c>
    </row>
    <row r="7078" spans="74:74" x14ac:dyDescent="0.3">
      <c r="BV7078" s="32">
        <f t="shared" ca="1" si="110"/>
        <v>121</v>
      </c>
    </row>
    <row r="7079" spans="74:74" x14ac:dyDescent="0.3">
      <c r="BV7079" s="32">
        <f t="shared" ca="1" si="110"/>
        <v>121</v>
      </c>
    </row>
    <row r="7080" spans="74:74" x14ac:dyDescent="0.3">
      <c r="BV7080" s="32">
        <f t="shared" ca="1" si="110"/>
        <v>121</v>
      </c>
    </row>
    <row r="7081" spans="74:74" x14ac:dyDescent="0.3">
      <c r="BV7081" s="32">
        <f t="shared" ca="1" si="110"/>
        <v>121</v>
      </c>
    </row>
    <row r="7082" spans="74:74" x14ac:dyDescent="0.3">
      <c r="BV7082" s="32">
        <f t="shared" ca="1" si="110"/>
        <v>121</v>
      </c>
    </row>
    <row r="7083" spans="74:74" x14ac:dyDescent="0.3">
      <c r="BV7083" s="32">
        <f t="shared" ca="1" si="110"/>
        <v>121</v>
      </c>
    </row>
    <row r="7084" spans="74:74" x14ac:dyDescent="0.3">
      <c r="BV7084" s="32">
        <f t="shared" ca="1" si="110"/>
        <v>121</v>
      </c>
    </row>
    <row r="7085" spans="74:74" x14ac:dyDescent="0.3">
      <c r="BV7085" s="32">
        <f t="shared" ca="1" si="110"/>
        <v>121</v>
      </c>
    </row>
    <row r="7086" spans="74:74" x14ac:dyDescent="0.3">
      <c r="BV7086" s="32">
        <f t="shared" ca="1" si="110"/>
        <v>121</v>
      </c>
    </row>
    <row r="7087" spans="74:74" x14ac:dyDescent="0.3">
      <c r="BV7087" s="32">
        <f t="shared" ca="1" si="110"/>
        <v>121</v>
      </c>
    </row>
    <row r="7088" spans="74:74" x14ac:dyDescent="0.3">
      <c r="BV7088" s="32">
        <f t="shared" ca="1" si="110"/>
        <v>121</v>
      </c>
    </row>
    <row r="7089" spans="74:74" x14ac:dyDescent="0.3">
      <c r="BV7089" s="32">
        <f t="shared" ca="1" si="110"/>
        <v>121</v>
      </c>
    </row>
    <row r="7090" spans="74:74" x14ac:dyDescent="0.3">
      <c r="BV7090" s="32">
        <f t="shared" ca="1" si="110"/>
        <v>121</v>
      </c>
    </row>
    <row r="7091" spans="74:74" x14ac:dyDescent="0.3">
      <c r="BV7091" s="32">
        <f t="shared" ca="1" si="110"/>
        <v>121</v>
      </c>
    </row>
    <row r="7092" spans="74:74" x14ac:dyDescent="0.3">
      <c r="BV7092" s="32">
        <f t="shared" ca="1" si="110"/>
        <v>121</v>
      </c>
    </row>
    <row r="7093" spans="74:74" x14ac:dyDescent="0.3">
      <c r="BV7093" s="32">
        <f t="shared" ca="1" si="110"/>
        <v>121</v>
      </c>
    </row>
    <row r="7094" spans="74:74" x14ac:dyDescent="0.3">
      <c r="BV7094" s="32">
        <f t="shared" ca="1" si="110"/>
        <v>121</v>
      </c>
    </row>
    <row r="7095" spans="74:74" x14ac:dyDescent="0.3">
      <c r="BV7095" s="32">
        <f t="shared" ca="1" si="110"/>
        <v>121</v>
      </c>
    </row>
    <row r="7096" spans="74:74" x14ac:dyDescent="0.3">
      <c r="BV7096" s="32">
        <f t="shared" ca="1" si="110"/>
        <v>121</v>
      </c>
    </row>
    <row r="7097" spans="74:74" x14ac:dyDescent="0.3">
      <c r="BV7097" s="32">
        <f t="shared" ca="1" si="110"/>
        <v>121</v>
      </c>
    </row>
    <row r="7098" spans="74:74" x14ac:dyDescent="0.3">
      <c r="BV7098" s="32">
        <f t="shared" ca="1" si="110"/>
        <v>121</v>
      </c>
    </row>
    <row r="7099" spans="74:74" x14ac:dyDescent="0.3">
      <c r="BV7099" s="32">
        <f t="shared" ca="1" si="110"/>
        <v>121</v>
      </c>
    </row>
    <row r="7100" spans="74:74" x14ac:dyDescent="0.3">
      <c r="BV7100" s="32">
        <f t="shared" ca="1" si="110"/>
        <v>121</v>
      </c>
    </row>
    <row r="7101" spans="74:74" x14ac:dyDescent="0.3">
      <c r="BV7101" s="32">
        <f t="shared" ca="1" si="110"/>
        <v>121</v>
      </c>
    </row>
    <row r="7102" spans="74:74" x14ac:dyDescent="0.3">
      <c r="BV7102" s="32">
        <f t="shared" ca="1" si="110"/>
        <v>121</v>
      </c>
    </row>
    <row r="7103" spans="74:74" x14ac:dyDescent="0.3">
      <c r="BV7103" s="32">
        <f t="shared" ca="1" si="110"/>
        <v>121</v>
      </c>
    </row>
    <row r="7104" spans="74:74" x14ac:dyDescent="0.3">
      <c r="BV7104" s="32">
        <f t="shared" ca="1" si="110"/>
        <v>121</v>
      </c>
    </row>
    <row r="7105" spans="74:74" x14ac:dyDescent="0.3">
      <c r="BV7105" s="32">
        <f t="shared" ca="1" si="110"/>
        <v>121</v>
      </c>
    </row>
    <row r="7106" spans="74:74" x14ac:dyDescent="0.3">
      <c r="BV7106" s="32">
        <f t="shared" ca="1" si="110"/>
        <v>121</v>
      </c>
    </row>
    <row r="7107" spans="74:74" x14ac:dyDescent="0.3">
      <c r="BV7107" s="32">
        <f t="shared" ca="1" si="110"/>
        <v>121</v>
      </c>
    </row>
    <row r="7108" spans="74:74" x14ac:dyDescent="0.3">
      <c r="BV7108" s="32">
        <f t="shared" ca="1" si="110"/>
        <v>121</v>
      </c>
    </row>
    <row r="7109" spans="74:74" x14ac:dyDescent="0.3">
      <c r="BV7109" s="32">
        <f t="shared" ca="1" si="110"/>
        <v>121</v>
      </c>
    </row>
    <row r="7110" spans="74:74" x14ac:dyDescent="0.3">
      <c r="BV7110" s="32">
        <f t="shared" ca="1" si="110"/>
        <v>121</v>
      </c>
    </row>
    <row r="7111" spans="74:74" x14ac:dyDescent="0.3">
      <c r="BV7111" s="32">
        <f t="shared" ca="1" si="110"/>
        <v>121</v>
      </c>
    </row>
    <row r="7112" spans="74:74" x14ac:dyDescent="0.3">
      <c r="BV7112" s="32">
        <f t="shared" ca="1" si="110"/>
        <v>121</v>
      </c>
    </row>
    <row r="7113" spans="74:74" x14ac:dyDescent="0.3">
      <c r="BV7113" s="32">
        <f t="shared" ca="1" si="110"/>
        <v>121</v>
      </c>
    </row>
    <row r="7114" spans="74:74" x14ac:dyDescent="0.3">
      <c r="BV7114" s="32">
        <f t="shared" ca="1" si="110"/>
        <v>121</v>
      </c>
    </row>
    <row r="7115" spans="74:74" x14ac:dyDescent="0.3">
      <c r="BV7115" s="32">
        <f t="shared" ca="1" si="110"/>
        <v>121</v>
      </c>
    </row>
    <row r="7116" spans="74:74" x14ac:dyDescent="0.3">
      <c r="BV7116" s="32">
        <f t="shared" ca="1" si="110"/>
        <v>121</v>
      </c>
    </row>
    <row r="7117" spans="74:74" x14ac:dyDescent="0.3">
      <c r="BV7117" s="32">
        <f t="shared" ref="BV7117:BV7180" ca="1" si="111">INT((TODAY()-$I7117)/365)</f>
        <v>121</v>
      </c>
    </row>
    <row r="7118" spans="74:74" x14ac:dyDescent="0.3">
      <c r="BV7118" s="32">
        <f t="shared" ca="1" si="111"/>
        <v>121</v>
      </c>
    </row>
    <row r="7119" spans="74:74" x14ac:dyDescent="0.3">
      <c r="BV7119" s="32">
        <f t="shared" ca="1" si="111"/>
        <v>121</v>
      </c>
    </row>
    <row r="7120" spans="74:74" x14ac:dyDescent="0.3">
      <c r="BV7120" s="32">
        <f t="shared" ca="1" si="111"/>
        <v>121</v>
      </c>
    </row>
    <row r="7121" spans="74:74" x14ac:dyDescent="0.3">
      <c r="BV7121" s="32">
        <f t="shared" ca="1" si="111"/>
        <v>121</v>
      </c>
    </row>
    <row r="7122" spans="74:74" x14ac:dyDescent="0.3">
      <c r="BV7122" s="32">
        <f t="shared" ca="1" si="111"/>
        <v>121</v>
      </c>
    </row>
    <row r="7123" spans="74:74" x14ac:dyDescent="0.3">
      <c r="BV7123" s="32">
        <f t="shared" ca="1" si="111"/>
        <v>121</v>
      </c>
    </row>
    <row r="7124" spans="74:74" x14ac:dyDescent="0.3">
      <c r="BV7124" s="32">
        <f t="shared" ca="1" si="111"/>
        <v>121</v>
      </c>
    </row>
    <row r="7125" spans="74:74" x14ac:dyDescent="0.3">
      <c r="BV7125" s="32">
        <f t="shared" ca="1" si="111"/>
        <v>121</v>
      </c>
    </row>
    <row r="7126" spans="74:74" x14ac:dyDescent="0.3">
      <c r="BV7126" s="32">
        <f t="shared" ca="1" si="111"/>
        <v>121</v>
      </c>
    </row>
    <row r="7127" spans="74:74" x14ac:dyDescent="0.3">
      <c r="BV7127" s="32">
        <f t="shared" ca="1" si="111"/>
        <v>121</v>
      </c>
    </row>
    <row r="7128" spans="74:74" x14ac:dyDescent="0.3">
      <c r="BV7128" s="32">
        <f t="shared" ca="1" si="111"/>
        <v>121</v>
      </c>
    </row>
    <row r="7129" spans="74:74" x14ac:dyDescent="0.3">
      <c r="BV7129" s="32">
        <f t="shared" ca="1" si="111"/>
        <v>121</v>
      </c>
    </row>
    <row r="7130" spans="74:74" x14ac:dyDescent="0.3">
      <c r="BV7130" s="32">
        <f t="shared" ca="1" si="111"/>
        <v>121</v>
      </c>
    </row>
    <row r="7131" spans="74:74" x14ac:dyDescent="0.3">
      <c r="BV7131" s="32">
        <f t="shared" ca="1" si="111"/>
        <v>121</v>
      </c>
    </row>
    <row r="7132" spans="74:74" x14ac:dyDescent="0.3">
      <c r="BV7132" s="32">
        <f t="shared" ca="1" si="111"/>
        <v>121</v>
      </c>
    </row>
    <row r="7133" spans="74:74" x14ac:dyDescent="0.3">
      <c r="BV7133" s="32">
        <f t="shared" ca="1" si="111"/>
        <v>121</v>
      </c>
    </row>
    <row r="7134" spans="74:74" x14ac:dyDescent="0.3">
      <c r="BV7134" s="32">
        <f t="shared" ca="1" si="111"/>
        <v>121</v>
      </c>
    </row>
    <row r="7135" spans="74:74" x14ac:dyDescent="0.3">
      <c r="BV7135" s="32">
        <f t="shared" ca="1" si="111"/>
        <v>121</v>
      </c>
    </row>
    <row r="7136" spans="74:74" x14ac:dyDescent="0.3">
      <c r="BV7136" s="32">
        <f t="shared" ca="1" si="111"/>
        <v>121</v>
      </c>
    </row>
    <row r="7137" spans="74:74" x14ac:dyDescent="0.3">
      <c r="BV7137" s="32">
        <f t="shared" ca="1" si="111"/>
        <v>121</v>
      </c>
    </row>
    <row r="7138" spans="74:74" x14ac:dyDescent="0.3">
      <c r="BV7138" s="32">
        <f t="shared" ca="1" si="111"/>
        <v>121</v>
      </c>
    </row>
    <row r="7139" spans="74:74" x14ac:dyDescent="0.3">
      <c r="BV7139" s="32">
        <f t="shared" ca="1" si="111"/>
        <v>121</v>
      </c>
    </row>
    <row r="7140" spans="74:74" x14ac:dyDescent="0.3">
      <c r="BV7140" s="32">
        <f t="shared" ca="1" si="111"/>
        <v>121</v>
      </c>
    </row>
    <row r="7141" spans="74:74" x14ac:dyDescent="0.3">
      <c r="BV7141" s="32">
        <f t="shared" ca="1" si="111"/>
        <v>121</v>
      </c>
    </row>
    <row r="7142" spans="74:74" x14ac:dyDescent="0.3">
      <c r="BV7142" s="32">
        <f t="shared" ca="1" si="111"/>
        <v>121</v>
      </c>
    </row>
    <row r="7143" spans="74:74" x14ac:dyDescent="0.3">
      <c r="BV7143" s="32">
        <f t="shared" ca="1" si="111"/>
        <v>121</v>
      </c>
    </row>
    <row r="7144" spans="74:74" x14ac:dyDescent="0.3">
      <c r="BV7144" s="32">
        <f t="shared" ca="1" si="111"/>
        <v>121</v>
      </c>
    </row>
    <row r="7145" spans="74:74" x14ac:dyDescent="0.3">
      <c r="BV7145" s="32">
        <f t="shared" ca="1" si="111"/>
        <v>121</v>
      </c>
    </row>
    <row r="7146" spans="74:74" x14ac:dyDescent="0.3">
      <c r="BV7146" s="32">
        <f t="shared" ca="1" si="111"/>
        <v>121</v>
      </c>
    </row>
    <row r="7147" spans="74:74" x14ac:dyDescent="0.3">
      <c r="BV7147" s="32">
        <f t="shared" ca="1" si="111"/>
        <v>121</v>
      </c>
    </row>
    <row r="7148" spans="74:74" x14ac:dyDescent="0.3">
      <c r="BV7148" s="32">
        <f t="shared" ca="1" si="111"/>
        <v>121</v>
      </c>
    </row>
    <row r="7149" spans="74:74" x14ac:dyDescent="0.3">
      <c r="BV7149" s="32">
        <f t="shared" ca="1" si="111"/>
        <v>121</v>
      </c>
    </row>
    <row r="7150" spans="74:74" x14ac:dyDescent="0.3">
      <c r="BV7150" s="32">
        <f t="shared" ca="1" si="111"/>
        <v>121</v>
      </c>
    </row>
    <row r="7151" spans="74:74" x14ac:dyDescent="0.3">
      <c r="BV7151" s="32">
        <f t="shared" ca="1" si="111"/>
        <v>121</v>
      </c>
    </row>
    <row r="7152" spans="74:74" x14ac:dyDescent="0.3">
      <c r="BV7152" s="32">
        <f t="shared" ca="1" si="111"/>
        <v>121</v>
      </c>
    </row>
    <row r="7153" spans="74:74" x14ac:dyDescent="0.3">
      <c r="BV7153" s="32">
        <f t="shared" ca="1" si="111"/>
        <v>121</v>
      </c>
    </row>
    <row r="7154" spans="74:74" x14ac:dyDescent="0.3">
      <c r="BV7154" s="32">
        <f t="shared" ca="1" si="111"/>
        <v>121</v>
      </c>
    </row>
    <row r="7155" spans="74:74" x14ac:dyDescent="0.3">
      <c r="BV7155" s="32">
        <f t="shared" ca="1" si="111"/>
        <v>121</v>
      </c>
    </row>
    <row r="7156" spans="74:74" x14ac:dyDescent="0.3">
      <c r="BV7156" s="32">
        <f t="shared" ca="1" si="111"/>
        <v>121</v>
      </c>
    </row>
    <row r="7157" spans="74:74" x14ac:dyDescent="0.3">
      <c r="BV7157" s="32">
        <f t="shared" ca="1" si="111"/>
        <v>121</v>
      </c>
    </row>
    <row r="7158" spans="74:74" x14ac:dyDescent="0.3">
      <c r="BV7158" s="32">
        <f t="shared" ca="1" si="111"/>
        <v>121</v>
      </c>
    </row>
    <row r="7159" spans="74:74" x14ac:dyDescent="0.3">
      <c r="BV7159" s="32">
        <f t="shared" ca="1" si="111"/>
        <v>121</v>
      </c>
    </row>
    <row r="7160" spans="74:74" x14ac:dyDescent="0.3">
      <c r="BV7160" s="32">
        <f t="shared" ca="1" si="111"/>
        <v>121</v>
      </c>
    </row>
    <row r="7161" spans="74:74" x14ac:dyDescent="0.3">
      <c r="BV7161" s="32">
        <f t="shared" ca="1" si="111"/>
        <v>121</v>
      </c>
    </row>
    <row r="7162" spans="74:74" x14ac:dyDescent="0.3">
      <c r="BV7162" s="32">
        <f t="shared" ca="1" si="111"/>
        <v>121</v>
      </c>
    </row>
    <row r="7163" spans="74:74" x14ac:dyDescent="0.3">
      <c r="BV7163" s="32">
        <f t="shared" ca="1" si="111"/>
        <v>121</v>
      </c>
    </row>
    <row r="7164" spans="74:74" x14ac:dyDescent="0.3">
      <c r="BV7164" s="32">
        <f t="shared" ca="1" si="111"/>
        <v>121</v>
      </c>
    </row>
    <row r="7165" spans="74:74" x14ac:dyDescent="0.3">
      <c r="BV7165" s="32">
        <f t="shared" ca="1" si="111"/>
        <v>121</v>
      </c>
    </row>
    <row r="7166" spans="74:74" x14ac:dyDescent="0.3">
      <c r="BV7166" s="32">
        <f t="shared" ca="1" si="111"/>
        <v>121</v>
      </c>
    </row>
    <row r="7167" spans="74:74" x14ac:dyDescent="0.3">
      <c r="BV7167" s="32">
        <f t="shared" ca="1" si="111"/>
        <v>121</v>
      </c>
    </row>
    <row r="7168" spans="74:74" x14ac:dyDescent="0.3">
      <c r="BV7168" s="32">
        <f t="shared" ca="1" si="111"/>
        <v>121</v>
      </c>
    </row>
    <row r="7169" spans="74:74" x14ac:dyDescent="0.3">
      <c r="BV7169" s="32">
        <f t="shared" ca="1" si="111"/>
        <v>121</v>
      </c>
    </row>
    <row r="7170" spans="74:74" x14ac:dyDescent="0.3">
      <c r="BV7170" s="32">
        <f t="shared" ca="1" si="111"/>
        <v>121</v>
      </c>
    </row>
    <row r="7171" spans="74:74" x14ac:dyDescent="0.3">
      <c r="BV7171" s="32">
        <f t="shared" ca="1" si="111"/>
        <v>121</v>
      </c>
    </row>
    <row r="7172" spans="74:74" x14ac:dyDescent="0.3">
      <c r="BV7172" s="32">
        <f t="shared" ca="1" si="111"/>
        <v>121</v>
      </c>
    </row>
    <row r="7173" spans="74:74" x14ac:dyDescent="0.3">
      <c r="BV7173" s="32">
        <f t="shared" ca="1" si="111"/>
        <v>121</v>
      </c>
    </row>
    <row r="7174" spans="74:74" x14ac:dyDescent="0.3">
      <c r="BV7174" s="32">
        <f t="shared" ca="1" si="111"/>
        <v>121</v>
      </c>
    </row>
    <row r="7175" spans="74:74" x14ac:dyDescent="0.3">
      <c r="BV7175" s="32">
        <f t="shared" ca="1" si="111"/>
        <v>121</v>
      </c>
    </row>
    <row r="7176" spans="74:74" x14ac:dyDescent="0.3">
      <c r="BV7176" s="32">
        <f t="shared" ca="1" si="111"/>
        <v>121</v>
      </c>
    </row>
    <row r="7177" spans="74:74" x14ac:dyDescent="0.3">
      <c r="BV7177" s="32">
        <f t="shared" ca="1" si="111"/>
        <v>121</v>
      </c>
    </row>
    <row r="7178" spans="74:74" x14ac:dyDescent="0.3">
      <c r="BV7178" s="32">
        <f t="shared" ca="1" si="111"/>
        <v>121</v>
      </c>
    </row>
    <row r="7179" spans="74:74" x14ac:dyDescent="0.3">
      <c r="BV7179" s="32">
        <f t="shared" ca="1" si="111"/>
        <v>121</v>
      </c>
    </row>
    <row r="7180" spans="74:74" x14ac:dyDescent="0.3">
      <c r="BV7180" s="32">
        <f t="shared" ca="1" si="111"/>
        <v>121</v>
      </c>
    </row>
    <row r="7181" spans="74:74" x14ac:dyDescent="0.3">
      <c r="BV7181" s="32">
        <f t="shared" ref="BV7181:BV7244" ca="1" si="112">INT((TODAY()-$I7181)/365)</f>
        <v>121</v>
      </c>
    </row>
    <row r="7182" spans="74:74" x14ac:dyDescent="0.3">
      <c r="BV7182" s="32">
        <f t="shared" ca="1" si="112"/>
        <v>121</v>
      </c>
    </row>
    <row r="7183" spans="74:74" x14ac:dyDescent="0.3">
      <c r="BV7183" s="32">
        <f t="shared" ca="1" si="112"/>
        <v>121</v>
      </c>
    </row>
    <row r="7184" spans="74:74" x14ac:dyDescent="0.3">
      <c r="BV7184" s="32">
        <f t="shared" ca="1" si="112"/>
        <v>121</v>
      </c>
    </row>
    <row r="7185" spans="74:74" x14ac:dyDescent="0.3">
      <c r="BV7185" s="32">
        <f t="shared" ca="1" si="112"/>
        <v>121</v>
      </c>
    </row>
    <row r="7186" spans="74:74" x14ac:dyDescent="0.3">
      <c r="BV7186" s="32">
        <f t="shared" ca="1" si="112"/>
        <v>121</v>
      </c>
    </row>
    <row r="7187" spans="74:74" x14ac:dyDescent="0.3">
      <c r="BV7187" s="32">
        <f t="shared" ca="1" si="112"/>
        <v>121</v>
      </c>
    </row>
    <row r="7188" spans="74:74" x14ac:dyDescent="0.3">
      <c r="BV7188" s="32">
        <f t="shared" ca="1" si="112"/>
        <v>121</v>
      </c>
    </row>
    <row r="7189" spans="74:74" x14ac:dyDescent="0.3">
      <c r="BV7189" s="32">
        <f t="shared" ca="1" si="112"/>
        <v>121</v>
      </c>
    </row>
    <row r="7190" spans="74:74" x14ac:dyDescent="0.3">
      <c r="BV7190" s="32">
        <f t="shared" ca="1" si="112"/>
        <v>121</v>
      </c>
    </row>
    <row r="7191" spans="74:74" x14ac:dyDescent="0.3">
      <c r="BV7191" s="32">
        <f t="shared" ca="1" si="112"/>
        <v>121</v>
      </c>
    </row>
    <row r="7192" spans="74:74" x14ac:dyDescent="0.3">
      <c r="BV7192" s="32">
        <f t="shared" ca="1" si="112"/>
        <v>121</v>
      </c>
    </row>
    <row r="7193" spans="74:74" x14ac:dyDescent="0.3">
      <c r="BV7193" s="32">
        <f t="shared" ca="1" si="112"/>
        <v>121</v>
      </c>
    </row>
    <row r="7194" spans="74:74" x14ac:dyDescent="0.3">
      <c r="BV7194" s="32">
        <f t="shared" ca="1" si="112"/>
        <v>121</v>
      </c>
    </row>
    <row r="7195" spans="74:74" x14ac:dyDescent="0.3">
      <c r="BV7195" s="32">
        <f t="shared" ca="1" si="112"/>
        <v>121</v>
      </c>
    </row>
    <row r="7196" spans="74:74" x14ac:dyDescent="0.3">
      <c r="BV7196" s="32">
        <f t="shared" ca="1" si="112"/>
        <v>121</v>
      </c>
    </row>
    <row r="7197" spans="74:74" x14ac:dyDescent="0.3">
      <c r="BV7197" s="32">
        <f t="shared" ca="1" si="112"/>
        <v>121</v>
      </c>
    </row>
    <row r="7198" spans="74:74" x14ac:dyDescent="0.3">
      <c r="BV7198" s="32">
        <f t="shared" ca="1" si="112"/>
        <v>121</v>
      </c>
    </row>
    <row r="7199" spans="74:74" x14ac:dyDescent="0.3">
      <c r="BV7199" s="32">
        <f t="shared" ca="1" si="112"/>
        <v>121</v>
      </c>
    </row>
    <row r="7200" spans="74:74" x14ac:dyDescent="0.3">
      <c r="BV7200" s="32">
        <f t="shared" ca="1" si="112"/>
        <v>121</v>
      </c>
    </row>
    <row r="7201" spans="74:74" x14ac:dyDescent="0.3">
      <c r="BV7201" s="32">
        <f t="shared" ca="1" si="112"/>
        <v>121</v>
      </c>
    </row>
    <row r="7202" spans="74:74" x14ac:dyDescent="0.3">
      <c r="BV7202" s="32">
        <f t="shared" ca="1" si="112"/>
        <v>121</v>
      </c>
    </row>
    <row r="7203" spans="74:74" x14ac:dyDescent="0.3">
      <c r="BV7203" s="32">
        <f t="shared" ca="1" si="112"/>
        <v>121</v>
      </c>
    </row>
    <row r="7204" spans="74:74" x14ac:dyDescent="0.3">
      <c r="BV7204" s="32">
        <f t="shared" ca="1" si="112"/>
        <v>121</v>
      </c>
    </row>
    <row r="7205" spans="74:74" x14ac:dyDescent="0.3">
      <c r="BV7205" s="32">
        <f t="shared" ca="1" si="112"/>
        <v>121</v>
      </c>
    </row>
    <row r="7206" spans="74:74" x14ac:dyDescent="0.3">
      <c r="BV7206" s="32">
        <f t="shared" ca="1" si="112"/>
        <v>121</v>
      </c>
    </row>
    <row r="7207" spans="74:74" x14ac:dyDescent="0.3">
      <c r="BV7207" s="32">
        <f t="shared" ca="1" si="112"/>
        <v>121</v>
      </c>
    </row>
    <row r="7208" spans="74:74" x14ac:dyDescent="0.3">
      <c r="BV7208" s="32">
        <f t="shared" ca="1" si="112"/>
        <v>121</v>
      </c>
    </row>
    <row r="7209" spans="74:74" x14ac:dyDescent="0.3">
      <c r="BV7209" s="32">
        <f t="shared" ca="1" si="112"/>
        <v>121</v>
      </c>
    </row>
    <row r="7210" spans="74:74" x14ac:dyDescent="0.3">
      <c r="BV7210" s="32">
        <f t="shared" ca="1" si="112"/>
        <v>121</v>
      </c>
    </row>
    <row r="7211" spans="74:74" x14ac:dyDescent="0.3">
      <c r="BV7211" s="32">
        <f t="shared" ca="1" si="112"/>
        <v>121</v>
      </c>
    </row>
    <row r="7212" spans="74:74" x14ac:dyDescent="0.3">
      <c r="BV7212" s="32">
        <f t="shared" ca="1" si="112"/>
        <v>121</v>
      </c>
    </row>
    <row r="7213" spans="74:74" x14ac:dyDescent="0.3">
      <c r="BV7213" s="32">
        <f t="shared" ca="1" si="112"/>
        <v>121</v>
      </c>
    </row>
    <row r="7214" spans="74:74" x14ac:dyDescent="0.3">
      <c r="BV7214" s="32">
        <f t="shared" ca="1" si="112"/>
        <v>121</v>
      </c>
    </row>
    <row r="7215" spans="74:74" x14ac:dyDescent="0.3">
      <c r="BV7215" s="32">
        <f t="shared" ca="1" si="112"/>
        <v>121</v>
      </c>
    </row>
    <row r="7216" spans="74:74" x14ac:dyDescent="0.3">
      <c r="BV7216" s="32">
        <f t="shared" ca="1" si="112"/>
        <v>121</v>
      </c>
    </row>
    <row r="7217" spans="74:74" x14ac:dyDescent="0.3">
      <c r="BV7217" s="32">
        <f t="shared" ca="1" si="112"/>
        <v>121</v>
      </c>
    </row>
    <row r="7218" spans="74:74" x14ac:dyDescent="0.3">
      <c r="BV7218" s="32">
        <f t="shared" ca="1" si="112"/>
        <v>121</v>
      </c>
    </row>
    <row r="7219" spans="74:74" x14ac:dyDescent="0.3">
      <c r="BV7219" s="32">
        <f t="shared" ca="1" si="112"/>
        <v>121</v>
      </c>
    </row>
    <row r="7220" spans="74:74" x14ac:dyDescent="0.3">
      <c r="BV7220" s="32">
        <f t="shared" ca="1" si="112"/>
        <v>121</v>
      </c>
    </row>
    <row r="7221" spans="74:74" x14ac:dyDescent="0.3">
      <c r="BV7221" s="32">
        <f t="shared" ca="1" si="112"/>
        <v>121</v>
      </c>
    </row>
    <row r="7222" spans="74:74" x14ac:dyDescent="0.3">
      <c r="BV7222" s="32">
        <f t="shared" ca="1" si="112"/>
        <v>121</v>
      </c>
    </row>
    <row r="7223" spans="74:74" x14ac:dyDescent="0.3">
      <c r="BV7223" s="32">
        <f t="shared" ca="1" si="112"/>
        <v>121</v>
      </c>
    </row>
    <row r="7224" spans="74:74" x14ac:dyDescent="0.3">
      <c r="BV7224" s="32">
        <f t="shared" ca="1" si="112"/>
        <v>121</v>
      </c>
    </row>
    <row r="7225" spans="74:74" x14ac:dyDescent="0.3">
      <c r="BV7225" s="32">
        <f t="shared" ca="1" si="112"/>
        <v>121</v>
      </c>
    </row>
    <row r="7226" spans="74:74" x14ac:dyDescent="0.3">
      <c r="BV7226" s="32">
        <f t="shared" ca="1" si="112"/>
        <v>121</v>
      </c>
    </row>
    <row r="7227" spans="74:74" x14ac:dyDescent="0.3">
      <c r="BV7227" s="32">
        <f t="shared" ca="1" si="112"/>
        <v>121</v>
      </c>
    </row>
    <row r="7228" spans="74:74" x14ac:dyDescent="0.3">
      <c r="BV7228" s="32">
        <f t="shared" ca="1" si="112"/>
        <v>121</v>
      </c>
    </row>
    <row r="7229" spans="74:74" x14ac:dyDescent="0.3">
      <c r="BV7229" s="32">
        <f t="shared" ca="1" si="112"/>
        <v>121</v>
      </c>
    </row>
    <row r="7230" spans="74:74" x14ac:dyDescent="0.3">
      <c r="BV7230" s="32">
        <f t="shared" ca="1" si="112"/>
        <v>121</v>
      </c>
    </row>
    <row r="7231" spans="74:74" x14ac:dyDescent="0.3">
      <c r="BV7231" s="32">
        <f t="shared" ca="1" si="112"/>
        <v>121</v>
      </c>
    </row>
    <row r="7232" spans="74:74" x14ac:dyDescent="0.3">
      <c r="BV7232" s="32">
        <f t="shared" ca="1" si="112"/>
        <v>121</v>
      </c>
    </row>
    <row r="7233" spans="74:74" x14ac:dyDescent="0.3">
      <c r="BV7233" s="32">
        <f t="shared" ca="1" si="112"/>
        <v>121</v>
      </c>
    </row>
    <row r="7234" spans="74:74" x14ac:dyDescent="0.3">
      <c r="BV7234" s="32">
        <f t="shared" ca="1" si="112"/>
        <v>121</v>
      </c>
    </row>
    <row r="7235" spans="74:74" x14ac:dyDescent="0.3">
      <c r="BV7235" s="32">
        <f t="shared" ca="1" si="112"/>
        <v>121</v>
      </c>
    </row>
    <row r="7236" spans="74:74" x14ac:dyDescent="0.3">
      <c r="BV7236" s="32">
        <f t="shared" ca="1" si="112"/>
        <v>121</v>
      </c>
    </row>
    <row r="7237" spans="74:74" x14ac:dyDescent="0.3">
      <c r="BV7237" s="32">
        <f t="shared" ca="1" si="112"/>
        <v>121</v>
      </c>
    </row>
    <row r="7238" spans="74:74" x14ac:dyDescent="0.3">
      <c r="BV7238" s="32">
        <f t="shared" ca="1" si="112"/>
        <v>121</v>
      </c>
    </row>
    <row r="7239" spans="74:74" x14ac:dyDescent="0.3">
      <c r="BV7239" s="32">
        <f t="shared" ca="1" si="112"/>
        <v>121</v>
      </c>
    </row>
    <row r="7240" spans="74:74" x14ac:dyDescent="0.3">
      <c r="BV7240" s="32">
        <f t="shared" ca="1" si="112"/>
        <v>121</v>
      </c>
    </row>
    <row r="7241" spans="74:74" x14ac:dyDescent="0.3">
      <c r="BV7241" s="32">
        <f t="shared" ca="1" si="112"/>
        <v>121</v>
      </c>
    </row>
    <row r="7242" spans="74:74" x14ac:dyDescent="0.3">
      <c r="BV7242" s="32">
        <f t="shared" ca="1" si="112"/>
        <v>121</v>
      </c>
    </row>
    <row r="7243" spans="74:74" x14ac:dyDescent="0.3">
      <c r="BV7243" s="32">
        <f t="shared" ca="1" si="112"/>
        <v>121</v>
      </c>
    </row>
    <row r="7244" spans="74:74" x14ac:dyDescent="0.3">
      <c r="BV7244" s="32">
        <f t="shared" ca="1" si="112"/>
        <v>121</v>
      </c>
    </row>
    <row r="7245" spans="74:74" x14ac:dyDescent="0.3">
      <c r="BV7245" s="32">
        <f t="shared" ref="BV7245:BV7308" ca="1" si="113">INT((TODAY()-$I7245)/365)</f>
        <v>121</v>
      </c>
    </row>
    <row r="7246" spans="74:74" x14ac:dyDescent="0.3">
      <c r="BV7246" s="32">
        <f t="shared" ca="1" si="113"/>
        <v>121</v>
      </c>
    </row>
    <row r="7247" spans="74:74" x14ac:dyDescent="0.3">
      <c r="BV7247" s="32">
        <f t="shared" ca="1" si="113"/>
        <v>121</v>
      </c>
    </row>
    <row r="7248" spans="74:74" x14ac:dyDescent="0.3">
      <c r="BV7248" s="32">
        <f t="shared" ca="1" si="113"/>
        <v>121</v>
      </c>
    </row>
    <row r="7249" spans="74:74" x14ac:dyDescent="0.3">
      <c r="BV7249" s="32">
        <f t="shared" ca="1" si="113"/>
        <v>121</v>
      </c>
    </row>
    <row r="7250" spans="74:74" x14ac:dyDescent="0.3">
      <c r="BV7250" s="32">
        <f t="shared" ca="1" si="113"/>
        <v>121</v>
      </c>
    </row>
    <row r="7251" spans="74:74" x14ac:dyDescent="0.3">
      <c r="BV7251" s="32">
        <f t="shared" ca="1" si="113"/>
        <v>121</v>
      </c>
    </row>
    <row r="7252" spans="74:74" x14ac:dyDescent="0.3">
      <c r="BV7252" s="32">
        <f t="shared" ca="1" si="113"/>
        <v>121</v>
      </c>
    </row>
    <row r="7253" spans="74:74" x14ac:dyDescent="0.3">
      <c r="BV7253" s="32">
        <f t="shared" ca="1" si="113"/>
        <v>121</v>
      </c>
    </row>
    <row r="7254" spans="74:74" x14ac:dyDescent="0.3">
      <c r="BV7254" s="32">
        <f t="shared" ca="1" si="113"/>
        <v>121</v>
      </c>
    </row>
    <row r="7255" spans="74:74" x14ac:dyDescent="0.3">
      <c r="BV7255" s="32">
        <f t="shared" ca="1" si="113"/>
        <v>121</v>
      </c>
    </row>
    <row r="7256" spans="74:74" x14ac:dyDescent="0.3">
      <c r="BV7256" s="32">
        <f t="shared" ca="1" si="113"/>
        <v>121</v>
      </c>
    </row>
    <row r="7257" spans="74:74" x14ac:dyDescent="0.3">
      <c r="BV7257" s="32">
        <f t="shared" ca="1" si="113"/>
        <v>121</v>
      </c>
    </row>
    <row r="7258" spans="74:74" x14ac:dyDescent="0.3">
      <c r="BV7258" s="32">
        <f t="shared" ca="1" si="113"/>
        <v>121</v>
      </c>
    </row>
    <row r="7259" spans="74:74" x14ac:dyDescent="0.3">
      <c r="BV7259" s="32">
        <f t="shared" ca="1" si="113"/>
        <v>121</v>
      </c>
    </row>
    <row r="7260" spans="74:74" x14ac:dyDescent="0.3">
      <c r="BV7260" s="32">
        <f t="shared" ca="1" si="113"/>
        <v>121</v>
      </c>
    </row>
    <row r="7261" spans="74:74" x14ac:dyDescent="0.3">
      <c r="BV7261" s="32">
        <f t="shared" ca="1" si="113"/>
        <v>121</v>
      </c>
    </row>
    <row r="7262" spans="74:74" x14ac:dyDescent="0.3">
      <c r="BV7262" s="32">
        <f t="shared" ca="1" si="113"/>
        <v>121</v>
      </c>
    </row>
    <row r="7263" spans="74:74" x14ac:dyDescent="0.3">
      <c r="BV7263" s="32">
        <f t="shared" ca="1" si="113"/>
        <v>121</v>
      </c>
    </row>
    <row r="7264" spans="74:74" x14ac:dyDescent="0.3">
      <c r="BV7264" s="32">
        <f t="shared" ca="1" si="113"/>
        <v>121</v>
      </c>
    </row>
    <row r="7265" spans="74:74" x14ac:dyDescent="0.3">
      <c r="BV7265" s="32">
        <f t="shared" ca="1" si="113"/>
        <v>121</v>
      </c>
    </row>
    <row r="7266" spans="74:74" x14ac:dyDescent="0.3">
      <c r="BV7266" s="32">
        <f t="shared" ca="1" si="113"/>
        <v>121</v>
      </c>
    </row>
    <row r="7267" spans="74:74" x14ac:dyDescent="0.3">
      <c r="BV7267" s="32">
        <f t="shared" ca="1" si="113"/>
        <v>121</v>
      </c>
    </row>
    <row r="7268" spans="74:74" x14ac:dyDescent="0.3">
      <c r="BV7268" s="32">
        <f t="shared" ca="1" si="113"/>
        <v>121</v>
      </c>
    </row>
    <row r="7269" spans="74:74" x14ac:dyDescent="0.3">
      <c r="BV7269" s="32">
        <f t="shared" ca="1" si="113"/>
        <v>121</v>
      </c>
    </row>
    <row r="7270" spans="74:74" x14ac:dyDescent="0.3">
      <c r="BV7270" s="32">
        <f t="shared" ca="1" si="113"/>
        <v>121</v>
      </c>
    </row>
    <row r="7271" spans="74:74" x14ac:dyDescent="0.3">
      <c r="BV7271" s="32">
        <f t="shared" ca="1" si="113"/>
        <v>121</v>
      </c>
    </row>
    <row r="7272" spans="74:74" x14ac:dyDescent="0.3">
      <c r="BV7272" s="32">
        <f t="shared" ca="1" si="113"/>
        <v>121</v>
      </c>
    </row>
    <row r="7273" spans="74:74" x14ac:dyDescent="0.3">
      <c r="BV7273" s="32">
        <f t="shared" ca="1" si="113"/>
        <v>121</v>
      </c>
    </row>
    <row r="7274" spans="74:74" x14ac:dyDescent="0.3">
      <c r="BV7274" s="32">
        <f t="shared" ca="1" si="113"/>
        <v>121</v>
      </c>
    </row>
    <row r="7275" spans="74:74" x14ac:dyDescent="0.3">
      <c r="BV7275" s="32">
        <f t="shared" ca="1" si="113"/>
        <v>121</v>
      </c>
    </row>
    <row r="7276" spans="74:74" x14ac:dyDescent="0.3">
      <c r="BV7276" s="32">
        <f t="shared" ca="1" si="113"/>
        <v>121</v>
      </c>
    </row>
    <row r="7277" spans="74:74" x14ac:dyDescent="0.3">
      <c r="BV7277" s="32">
        <f t="shared" ca="1" si="113"/>
        <v>121</v>
      </c>
    </row>
    <row r="7278" spans="74:74" x14ac:dyDescent="0.3">
      <c r="BV7278" s="32">
        <f t="shared" ca="1" si="113"/>
        <v>121</v>
      </c>
    </row>
    <row r="7279" spans="74:74" x14ac:dyDescent="0.3">
      <c r="BV7279" s="32">
        <f t="shared" ca="1" si="113"/>
        <v>121</v>
      </c>
    </row>
    <row r="7280" spans="74:74" x14ac:dyDescent="0.3">
      <c r="BV7280" s="32">
        <f t="shared" ca="1" si="113"/>
        <v>121</v>
      </c>
    </row>
    <row r="7281" spans="74:74" x14ac:dyDescent="0.3">
      <c r="BV7281" s="32">
        <f t="shared" ca="1" si="113"/>
        <v>121</v>
      </c>
    </row>
    <row r="7282" spans="74:74" x14ac:dyDescent="0.3">
      <c r="BV7282" s="32">
        <f t="shared" ca="1" si="113"/>
        <v>121</v>
      </c>
    </row>
    <row r="7283" spans="74:74" x14ac:dyDescent="0.3">
      <c r="BV7283" s="32">
        <f t="shared" ca="1" si="113"/>
        <v>121</v>
      </c>
    </row>
    <row r="7284" spans="74:74" x14ac:dyDescent="0.3">
      <c r="BV7284" s="32">
        <f t="shared" ca="1" si="113"/>
        <v>121</v>
      </c>
    </row>
    <row r="7285" spans="74:74" x14ac:dyDescent="0.3">
      <c r="BV7285" s="32">
        <f t="shared" ca="1" si="113"/>
        <v>121</v>
      </c>
    </row>
    <row r="7286" spans="74:74" x14ac:dyDescent="0.3">
      <c r="BV7286" s="32">
        <f t="shared" ca="1" si="113"/>
        <v>121</v>
      </c>
    </row>
    <row r="7287" spans="74:74" x14ac:dyDescent="0.3">
      <c r="BV7287" s="32">
        <f t="shared" ca="1" si="113"/>
        <v>121</v>
      </c>
    </row>
    <row r="7288" spans="74:74" x14ac:dyDescent="0.3">
      <c r="BV7288" s="32">
        <f t="shared" ca="1" si="113"/>
        <v>121</v>
      </c>
    </row>
    <row r="7289" spans="74:74" x14ac:dyDescent="0.3">
      <c r="BV7289" s="32">
        <f t="shared" ca="1" si="113"/>
        <v>121</v>
      </c>
    </row>
    <row r="7290" spans="74:74" x14ac:dyDescent="0.3">
      <c r="BV7290" s="32">
        <f t="shared" ca="1" si="113"/>
        <v>121</v>
      </c>
    </row>
    <row r="7291" spans="74:74" x14ac:dyDescent="0.3">
      <c r="BV7291" s="32">
        <f t="shared" ca="1" si="113"/>
        <v>121</v>
      </c>
    </row>
    <row r="7292" spans="74:74" x14ac:dyDescent="0.3">
      <c r="BV7292" s="32">
        <f t="shared" ca="1" si="113"/>
        <v>121</v>
      </c>
    </row>
    <row r="7293" spans="74:74" x14ac:dyDescent="0.3">
      <c r="BV7293" s="32">
        <f t="shared" ca="1" si="113"/>
        <v>121</v>
      </c>
    </row>
    <row r="7294" spans="74:74" x14ac:dyDescent="0.3">
      <c r="BV7294" s="32">
        <f t="shared" ca="1" si="113"/>
        <v>121</v>
      </c>
    </row>
    <row r="7295" spans="74:74" x14ac:dyDescent="0.3">
      <c r="BV7295" s="32">
        <f t="shared" ca="1" si="113"/>
        <v>121</v>
      </c>
    </row>
    <row r="7296" spans="74:74" x14ac:dyDescent="0.3">
      <c r="BV7296" s="32">
        <f t="shared" ca="1" si="113"/>
        <v>121</v>
      </c>
    </row>
    <row r="7297" spans="74:74" x14ac:dyDescent="0.3">
      <c r="BV7297" s="32">
        <f t="shared" ca="1" si="113"/>
        <v>121</v>
      </c>
    </row>
    <row r="7298" spans="74:74" x14ac:dyDescent="0.3">
      <c r="BV7298" s="32">
        <f t="shared" ca="1" si="113"/>
        <v>121</v>
      </c>
    </row>
    <row r="7299" spans="74:74" x14ac:dyDescent="0.3">
      <c r="BV7299" s="32">
        <f t="shared" ca="1" si="113"/>
        <v>121</v>
      </c>
    </row>
    <row r="7300" spans="74:74" x14ac:dyDescent="0.3">
      <c r="BV7300" s="32">
        <f t="shared" ca="1" si="113"/>
        <v>121</v>
      </c>
    </row>
    <row r="7301" spans="74:74" x14ac:dyDescent="0.3">
      <c r="BV7301" s="32">
        <f t="shared" ca="1" si="113"/>
        <v>121</v>
      </c>
    </row>
    <row r="7302" spans="74:74" x14ac:dyDescent="0.3">
      <c r="BV7302" s="32">
        <f t="shared" ca="1" si="113"/>
        <v>121</v>
      </c>
    </row>
    <row r="7303" spans="74:74" x14ac:dyDescent="0.3">
      <c r="BV7303" s="32">
        <f t="shared" ca="1" si="113"/>
        <v>121</v>
      </c>
    </row>
    <row r="7304" spans="74:74" x14ac:dyDescent="0.3">
      <c r="BV7304" s="32">
        <f t="shared" ca="1" si="113"/>
        <v>121</v>
      </c>
    </row>
    <row r="7305" spans="74:74" x14ac:dyDescent="0.3">
      <c r="BV7305" s="32">
        <f t="shared" ca="1" si="113"/>
        <v>121</v>
      </c>
    </row>
    <row r="7306" spans="74:74" x14ac:dyDescent="0.3">
      <c r="BV7306" s="32">
        <f t="shared" ca="1" si="113"/>
        <v>121</v>
      </c>
    </row>
    <row r="7307" spans="74:74" x14ac:dyDescent="0.3">
      <c r="BV7307" s="32">
        <f t="shared" ca="1" si="113"/>
        <v>121</v>
      </c>
    </row>
    <row r="7308" spans="74:74" x14ac:dyDescent="0.3">
      <c r="BV7308" s="32">
        <f t="shared" ca="1" si="113"/>
        <v>121</v>
      </c>
    </row>
    <row r="7309" spans="74:74" x14ac:dyDescent="0.3">
      <c r="BV7309" s="32">
        <f t="shared" ref="BV7309:BV7345" ca="1" si="114">INT((TODAY()-$I7309)/365)</f>
        <v>121</v>
      </c>
    </row>
    <row r="7310" spans="74:74" x14ac:dyDescent="0.3">
      <c r="BV7310" s="32">
        <f t="shared" ca="1" si="114"/>
        <v>121</v>
      </c>
    </row>
    <row r="7311" spans="74:74" x14ac:dyDescent="0.3">
      <c r="BV7311" s="32">
        <f t="shared" ca="1" si="114"/>
        <v>121</v>
      </c>
    </row>
    <row r="7312" spans="74:74" x14ac:dyDescent="0.3">
      <c r="BV7312" s="32">
        <f t="shared" ca="1" si="114"/>
        <v>121</v>
      </c>
    </row>
    <row r="7313" spans="74:74" x14ac:dyDescent="0.3">
      <c r="BV7313" s="32">
        <f t="shared" ca="1" si="114"/>
        <v>121</v>
      </c>
    </row>
    <row r="7314" spans="74:74" x14ac:dyDescent="0.3">
      <c r="BV7314" s="32">
        <f t="shared" ca="1" si="114"/>
        <v>121</v>
      </c>
    </row>
    <row r="7315" spans="74:74" x14ac:dyDescent="0.3">
      <c r="BV7315" s="32">
        <f t="shared" ca="1" si="114"/>
        <v>121</v>
      </c>
    </row>
    <row r="7316" spans="74:74" x14ac:dyDescent="0.3">
      <c r="BV7316" s="32">
        <f t="shared" ca="1" si="114"/>
        <v>121</v>
      </c>
    </row>
    <row r="7317" spans="74:74" x14ac:dyDescent="0.3">
      <c r="BV7317" s="32">
        <f t="shared" ca="1" si="114"/>
        <v>121</v>
      </c>
    </row>
    <row r="7318" spans="74:74" x14ac:dyDescent="0.3">
      <c r="BV7318" s="32">
        <f t="shared" ca="1" si="114"/>
        <v>121</v>
      </c>
    </row>
    <row r="7319" spans="74:74" x14ac:dyDescent="0.3">
      <c r="BV7319" s="32">
        <f t="shared" ca="1" si="114"/>
        <v>121</v>
      </c>
    </row>
    <row r="7320" spans="74:74" x14ac:dyDescent="0.3">
      <c r="BV7320" s="32">
        <f t="shared" ca="1" si="114"/>
        <v>121</v>
      </c>
    </row>
    <row r="7321" spans="74:74" x14ac:dyDescent="0.3">
      <c r="BV7321" s="32">
        <f t="shared" ca="1" si="114"/>
        <v>121</v>
      </c>
    </row>
    <row r="7322" spans="74:74" x14ac:dyDescent="0.3">
      <c r="BV7322" s="32">
        <f t="shared" ca="1" si="114"/>
        <v>121</v>
      </c>
    </row>
    <row r="7323" spans="74:74" x14ac:dyDescent="0.3">
      <c r="BV7323" s="32">
        <f t="shared" ca="1" si="114"/>
        <v>121</v>
      </c>
    </row>
    <row r="7324" spans="74:74" x14ac:dyDescent="0.3">
      <c r="BV7324" s="32">
        <f t="shared" ca="1" si="114"/>
        <v>121</v>
      </c>
    </row>
    <row r="7325" spans="74:74" x14ac:dyDescent="0.3">
      <c r="BV7325" s="32">
        <f t="shared" ca="1" si="114"/>
        <v>121</v>
      </c>
    </row>
    <row r="7326" spans="74:74" x14ac:dyDescent="0.3">
      <c r="BV7326" s="32">
        <f t="shared" ca="1" si="114"/>
        <v>121</v>
      </c>
    </row>
    <row r="7327" spans="74:74" x14ac:dyDescent="0.3">
      <c r="BV7327" s="32">
        <f t="shared" ca="1" si="114"/>
        <v>121</v>
      </c>
    </row>
    <row r="7328" spans="74:74" x14ac:dyDescent="0.3">
      <c r="BV7328" s="32">
        <f t="shared" ca="1" si="114"/>
        <v>121</v>
      </c>
    </row>
    <row r="7329" spans="74:74" x14ac:dyDescent="0.3">
      <c r="BV7329" s="32">
        <f t="shared" ca="1" si="114"/>
        <v>121</v>
      </c>
    </row>
    <row r="7330" spans="74:74" x14ac:dyDescent="0.3">
      <c r="BV7330" s="32">
        <f t="shared" ca="1" si="114"/>
        <v>121</v>
      </c>
    </row>
    <row r="7331" spans="74:74" x14ac:dyDescent="0.3">
      <c r="BV7331" s="32">
        <f t="shared" ca="1" si="114"/>
        <v>121</v>
      </c>
    </row>
    <row r="7332" spans="74:74" x14ac:dyDescent="0.3">
      <c r="BV7332" s="32">
        <f t="shared" ca="1" si="114"/>
        <v>121</v>
      </c>
    </row>
    <row r="7333" spans="74:74" x14ac:dyDescent="0.3">
      <c r="BV7333" s="32">
        <f t="shared" ca="1" si="114"/>
        <v>121</v>
      </c>
    </row>
    <row r="7334" spans="74:74" x14ac:dyDescent="0.3">
      <c r="BV7334" s="32">
        <f t="shared" ca="1" si="114"/>
        <v>121</v>
      </c>
    </row>
    <row r="7335" spans="74:74" x14ac:dyDescent="0.3">
      <c r="BV7335" s="32">
        <f t="shared" ca="1" si="114"/>
        <v>121</v>
      </c>
    </row>
    <row r="7336" spans="74:74" x14ac:dyDescent="0.3">
      <c r="BV7336" s="32">
        <f t="shared" ca="1" si="114"/>
        <v>121</v>
      </c>
    </row>
    <row r="7337" spans="74:74" x14ac:dyDescent="0.3">
      <c r="BV7337" s="32">
        <f t="shared" ca="1" si="114"/>
        <v>121</v>
      </c>
    </row>
    <row r="7338" spans="74:74" x14ac:dyDescent="0.3">
      <c r="BV7338" s="32">
        <f t="shared" ca="1" si="114"/>
        <v>121</v>
      </c>
    </row>
    <row r="7339" spans="74:74" x14ac:dyDescent="0.3">
      <c r="BV7339" s="32">
        <f t="shared" ca="1" si="114"/>
        <v>121</v>
      </c>
    </row>
    <row r="7340" spans="74:74" x14ac:dyDescent="0.3">
      <c r="BV7340" s="32">
        <f t="shared" ca="1" si="114"/>
        <v>121</v>
      </c>
    </row>
    <row r="7341" spans="74:74" x14ac:dyDescent="0.3">
      <c r="BV7341" s="32">
        <f t="shared" ca="1" si="114"/>
        <v>121</v>
      </c>
    </row>
    <row r="7342" spans="74:74" x14ac:dyDescent="0.3">
      <c r="BV7342" s="32">
        <f t="shared" ca="1" si="114"/>
        <v>121</v>
      </c>
    </row>
    <row r="7343" spans="74:74" x14ac:dyDescent="0.3">
      <c r="BV7343" s="32">
        <f t="shared" ca="1" si="114"/>
        <v>121</v>
      </c>
    </row>
    <row r="7344" spans="74:74" x14ac:dyDescent="0.3">
      <c r="BV7344" s="32">
        <f t="shared" ca="1" si="114"/>
        <v>121</v>
      </c>
    </row>
    <row r="7345" spans="74:74" x14ac:dyDescent="0.3">
      <c r="BV7345" s="32">
        <f t="shared" ca="1" si="114"/>
        <v>121</v>
      </c>
    </row>
  </sheetData>
  <mergeCells count="1">
    <mergeCell ref="A2:AD4"/>
  </mergeCell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AM147"/>
  <sheetViews>
    <sheetView workbookViewId="0">
      <selection activeCell="R23" sqref="R23"/>
    </sheetView>
  </sheetViews>
  <sheetFormatPr defaultRowHeight="14.4" x14ac:dyDescent="0.3"/>
  <cols>
    <col min="1" max="1" width="19.33203125" style="5" customWidth="1"/>
    <col min="2" max="2" width="11.33203125" style="5" customWidth="1"/>
    <col min="3" max="3" width="9.77734375" style="5" customWidth="1"/>
    <col min="4" max="4" width="16.77734375" style="5" customWidth="1"/>
    <col min="5" max="5" width="15.33203125" style="5" customWidth="1"/>
    <col min="6" max="6" width="16.109375" style="5" customWidth="1"/>
    <col min="7" max="11" width="8.88671875" style="5"/>
    <col min="12" max="12" width="41.21875" style="5" customWidth="1"/>
    <col min="13" max="16384" width="8.88671875" style="5"/>
  </cols>
  <sheetData>
    <row r="1" spans="1:21" x14ac:dyDescent="0.3">
      <c r="A1" s="17" t="s">
        <v>226</v>
      </c>
      <c r="B1" s="5" t="str">
        <f>_xlfn.IFS(B2=1,"",B2=2,Lista!$A$2,B2=3,Lista!$A$3,B2=4,Lista!$A$4,B2=5,Lista!$A$5)</f>
        <v/>
      </c>
    </row>
    <row r="2" spans="1:21" ht="20.399999999999999" customHeight="1" x14ac:dyDescent="0.3">
      <c r="A2" s="18" t="s">
        <v>227</v>
      </c>
      <c r="B2" s="10">
        <v>1</v>
      </c>
      <c r="C2" s="10"/>
      <c r="D2" s="10"/>
      <c r="E2" s="10"/>
      <c r="F2" s="10"/>
      <c r="G2" s="10"/>
      <c r="H2" s="10"/>
      <c r="I2" s="47"/>
      <c r="J2" s="47"/>
      <c r="L2" s="10"/>
      <c r="M2" s="10"/>
      <c r="N2" s="6"/>
      <c r="O2" s="6"/>
      <c r="P2" s="6"/>
    </row>
    <row r="3" spans="1:21" x14ac:dyDescent="0.3">
      <c r="A3" s="7"/>
      <c r="B3" s="48"/>
      <c r="C3" s="48"/>
      <c r="D3" s="48"/>
      <c r="E3" s="48"/>
      <c r="F3" s="7"/>
      <c r="G3" s="7"/>
      <c r="H3" s="7"/>
      <c r="I3" s="48"/>
      <c r="J3" s="48"/>
      <c r="L3" s="7"/>
      <c r="M3" s="7"/>
      <c r="N3" s="7"/>
      <c r="O3" s="7"/>
      <c r="P3" s="7"/>
    </row>
    <row r="4" spans="1:21" x14ac:dyDescent="0.3">
      <c r="A4" s="11" t="s">
        <v>152</v>
      </c>
      <c r="B4" s="11" t="s">
        <v>153</v>
      </c>
      <c r="C4" s="6"/>
      <c r="D4" s="6"/>
      <c r="E4" s="6"/>
      <c r="F4" s="6"/>
      <c r="G4" s="6"/>
      <c r="H4" s="6"/>
      <c r="I4" s="6"/>
      <c r="J4" s="6"/>
      <c r="L4" s="6"/>
      <c r="M4" s="7"/>
      <c r="N4" s="7"/>
      <c r="O4" s="7"/>
      <c r="P4" s="7"/>
    </row>
    <row r="5" spans="1:21" x14ac:dyDescent="0.3">
      <c r="A5" s="8" t="s">
        <v>9</v>
      </c>
      <c r="B5" s="8">
        <f>IF($B$1&lt;&gt;"",COUNTIFS(Base!$C:$C,Análise!$B$1,Base!$D:$D,Análise!$A5),COUNTIFS(Base!$D:$D,Análise!$A5))</f>
        <v>0</v>
      </c>
      <c r="C5" s="7"/>
      <c r="D5" s="7"/>
      <c r="E5" s="6"/>
      <c r="F5" s="6"/>
      <c r="G5" s="6"/>
      <c r="H5" s="6"/>
      <c r="I5" s="6"/>
      <c r="J5" s="6"/>
      <c r="L5" s="6"/>
      <c r="M5" s="7"/>
      <c r="N5" s="7"/>
      <c r="O5" s="7"/>
      <c r="P5" s="7"/>
    </row>
    <row r="6" spans="1:21" x14ac:dyDescent="0.3">
      <c r="A6" s="8" t="s">
        <v>42</v>
      </c>
      <c r="B6" s="8">
        <f>IF($B$1&lt;&gt;"",COUNTIFS(Base!$C:$C,Análise!$B$1,Base!$D:$D,Análise!$A6),COUNTIFS(Base!$D:$D,Análise!$A6))</f>
        <v>0</v>
      </c>
      <c r="C6" s="6"/>
      <c r="D6" s="6"/>
      <c r="E6" s="6"/>
      <c r="F6" s="6"/>
      <c r="G6" s="6"/>
      <c r="H6" s="6"/>
      <c r="I6" s="6"/>
      <c r="J6" s="6"/>
      <c r="L6" s="6"/>
      <c r="M6" s="7"/>
      <c r="N6" s="7"/>
      <c r="O6" s="7"/>
      <c r="P6" s="7"/>
    </row>
    <row r="7" spans="1:21" x14ac:dyDescent="0.3">
      <c r="A7" s="11" t="s">
        <v>154</v>
      </c>
      <c r="B7" s="11">
        <f>SUM(B5+B6)</f>
        <v>0</v>
      </c>
      <c r="L7" s="6"/>
      <c r="M7" s="6"/>
      <c r="N7" s="6"/>
      <c r="O7" s="6"/>
      <c r="P7" s="6"/>
    </row>
    <row r="8" spans="1:21" x14ac:dyDescent="0.3">
      <c r="L8" s="6"/>
      <c r="M8" s="7"/>
      <c r="N8" s="7"/>
      <c r="O8" s="7"/>
      <c r="P8" s="7"/>
    </row>
    <row r="9" spans="1:21" x14ac:dyDescent="0.3">
      <c r="A9" s="15" t="s">
        <v>182</v>
      </c>
      <c r="B9" s="15" t="s">
        <v>153</v>
      </c>
      <c r="D9" s="15" t="s">
        <v>254</v>
      </c>
      <c r="E9" s="15" t="s">
        <v>153</v>
      </c>
      <c r="H9" s="15" t="s">
        <v>261</v>
      </c>
      <c r="I9" s="15" t="s">
        <v>153</v>
      </c>
      <c r="L9" s="15" t="s">
        <v>267</v>
      </c>
      <c r="M9" s="15" t="s">
        <v>12</v>
      </c>
      <c r="N9" s="15" t="s">
        <v>43</v>
      </c>
      <c r="O9" s="15" t="s">
        <v>130</v>
      </c>
      <c r="P9" s="13" t="s">
        <v>156</v>
      </c>
      <c r="Q9" s="13" t="s">
        <v>157</v>
      </c>
      <c r="R9" s="13" t="s">
        <v>185</v>
      </c>
      <c r="S9" s="14" t="s">
        <v>186</v>
      </c>
      <c r="T9" s="13" t="s">
        <v>102</v>
      </c>
      <c r="U9" s="15" t="s">
        <v>155</v>
      </c>
    </row>
    <row r="10" spans="1:21" x14ac:dyDescent="0.3">
      <c r="A10" s="22" t="s">
        <v>231</v>
      </c>
      <c r="B10" s="12">
        <f>IF($B$1&lt;&gt;"",COUNTIFS(Base!$F:$F,Análise!$A10,Base!$C:$C,Análise!$B$1),COUNTIF(Base!$F:$F,Análise!$A10))</f>
        <v>0</v>
      </c>
      <c r="D10" s="21" t="s">
        <v>11</v>
      </c>
      <c r="E10" s="12">
        <f>IF($B$1&lt;&gt;"",COUNTIFS(Base!$C:$C,Análise!$B$1,Base!$G:$G,Análise!$D10),COUNTIF(Base!$G:$G,Análise!$D10))</f>
        <v>0</v>
      </c>
      <c r="H10" s="19" t="s">
        <v>189</v>
      </c>
      <c r="I10" s="12">
        <f>IF($B$1&lt;&gt;"",COUNTIFS(Base!$C:$C,Análise!$B$1,Base!$L:$L,Análise!$H10),COUNTIF(Base!$L:$L,Análise!$H10))</f>
        <v>0</v>
      </c>
      <c r="L10" s="12" t="s">
        <v>184</v>
      </c>
      <c r="M10" s="12">
        <f>IF($B$1&lt;&gt;"",COUNTIFS(Base!$C:$C,Análise!$B$1,Base!$H:$H,Análise!M$9),COUNTIF(Base!$H:$H,Análise!M$9))</f>
        <v>0</v>
      </c>
      <c r="N10" s="12">
        <f>IF($B$1&lt;&gt;"",COUNTIFS(Base!$C:$C,Análise!$B$1,Base!$H:$H,Análise!N$9),COUNTIF(Base!$H:$H,Análise!N$9))</f>
        <v>0</v>
      </c>
      <c r="O10" s="12">
        <f>IF($B$1&lt;&gt;"",COUNTIFS(Base!$C:$C,Análise!$B$1,Base!$H:$H,Análise!O$9),COUNTIF(Base!$H:$H,Análise!O$9))</f>
        <v>0</v>
      </c>
      <c r="P10" s="12">
        <f>IF($B$1&lt;&gt;"",COUNTIFS(Base!$C:$C,Análise!$B$1,Base!$H:$H,Análise!P$9),COUNTIF(Base!$H:$H,Análise!P$9))</f>
        <v>0</v>
      </c>
      <c r="Q10" s="12">
        <f>IF($B$1&lt;&gt;"",COUNTIFS(Base!$C:$C,Análise!$B$1,Base!$H:$H,Análise!Q$9),COUNTIF(Base!$H:$H,Análise!Q$9))</f>
        <v>0</v>
      </c>
      <c r="R10" s="12">
        <f>IF($B$1&lt;&gt;"",COUNTIFS(Base!$C:$C,Análise!$B$1,Base!$H:$H,Análise!R$9),COUNTIF(Base!$H:$H,Análise!R$9))</f>
        <v>0</v>
      </c>
      <c r="S10" s="12">
        <f>IF($B$1&lt;&gt;"",COUNTIFS(Base!$C:$C,Análise!$B$1,Base!$H:$H,Análise!S$9),COUNTIF(Base!$H:$H,Análise!S$9))</f>
        <v>0</v>
      </c>
      <c r="T10" s="12">
        <f>IF($B$1&lt;&gt;"",COUNTIFS(Base!$C:$C,Análise!$B$1,Base!$H:$H,Análise!T$9),COUNTIF(Base!$H:$H,Análise!T$9))</f>
        <v>0</v>
      </c>
      <c r="U10" s="12">
        <f>IF($B$1&lt;&gt;"",COUNTIFS(Base!$C:$C,Análise!$B$1,Base!$H:$H,Análise!U$9),COUNTIF(Base!$H:$H,Análise!U$9))</f>
        <v>0</v>
      </c>
    </row>
    <row r="11" spans="1:21" x14ac:dyDescent="0.3">
      <c r="A11" s="22" t="s">
        <v>232</v>
      </c>
      <c r="B11" s="12">
        <f>IF($B$1&lt;&gt;"",COUNTIFS(Base!$F:$F,Análise!$A11,Base!$C:$C,Análise!$B$1),COUNTIF(Base!$F:$F,Análise!$A11))</f>
        <v>0</v>
      </c>
      <c r="D11" s="21" t="s">
        <v>122</v>
      </c>
      <c r="E11" s="12">
        <f>IF($B$1&lt;&gt;"",COUNTIFS(Base!$C:$C,Análise!$B$1,Base!$G:$G,Análise!$D11),COUNTIF(Base!$G:$G,Análise!$D11))</f>
        <v>0</v>
      </c>
      <c r="H11" s="19" t="s">
        <v>106</v>
      </c>
      <c r="I11" s="12">
        <f>IF($B$1&lt;&gt;"",COUNTIFS(Base!$C:$C,Análise!$B$1,Base!$L:$L,Análise!$H11),COUNTIF(Base!$L:$L,Análise!$H11))</f>
        <v>0</v>
      </c>
    </row>
    <row r="12" spans="1:21" x14ac:dyDescent="0.3">
      <c r="A12" s="22" t="s">
        <v>233</v>
      </c>
      <c r="B12" s="12">
        <f>IF($B$1&lt;&gt;"",COUNTIFS(Base!$F:$F,Análise!$A12,Base!$C:$C,Análise!$B$1),COUNTIF(Base!$F:$F,Análise!$A12))</f>
        <v>0</v>
      </c>
      <c r="D12" s="21" t="s">
        <v>126</v>
      </c>
      <c r="E12" s="12">
        <f>IF($B$1&lt;&gt;"",COUNTIFS(Base!$C:$C,Análise!$B$1,Base!$G:$G,Análise!$D12),COUNTIF(Base!$G:$G,Análise!$D12))</f>
        <v>0</v>
      </c>
      <c r="H12" s="19" t="s">
        <v>187</v>
      </c>
      <c r="I12" s="12">
        <f>IF($B$1&lt;&gt;"",COUNTIFS(Base!$C:$C,Análise!$B$1,Base!$L:$L,Análise!$H12),COUNTIF(Base!$L:$L,Análise!$H12))</f>
        <v>0</v>
      </c>
      <c r="L12" s="15" t="s">
        <v>266</v>
      </c>
      <c r="M12" s="15" t="s">
        <v>153</v>
      </c>
      <c r="N12" s="6"/>
      <c r="O12" s="15" t="s">
        <v>214</v>
      </c>
      <c r="P12" s="15" t="s">
        <v>25</v>
      </c>
      <c r="Q12" s="15" t="s">
        <v>51</v>
      </c>
      <c r="R12" s="15" t="s">
        <v>65</v>
      </c>
      <c r="S12" s="15" t="s">
        <v>70</v>
      </c>
      <c r="T12" s="15" t="s">
        <v>88</v>
      </c>
      <c r="U12" s="6"/>
    </row>
    <row r="13" spans="1:21" x14ac:dyDescent="0.3">
      <c r="A13" s="22" t="s">
        <v>234</v>
      </c>
      <c r="B13" s="12">
        <f>IF($B$1&lt;&gt;"",COUNTIFS(Base!$F:$F,Análise!$A13,Base!$C:$C,Análise!$B$1),COUNTIF(Base!$F:$F,Análise!$A13))</f>
        <v>0</v>
      </c>
      <c r="D13" s="21" t="s">
        <v>143</v>
      </c>
      <c r="E13" s="12">
        <f>IF($B$1&lt;&gt;"",COUNTIFS(Base!$C:$C,Análise!$B$1,Base!$G:$G,Análise!$D13),COUNTIF(Base!$G:$G,Análise!$D13))</f>
        <v>0</v>
      </c>
      <c r="H13" s="19" t="s">
        <v>79</v>
      </c>
      <c r="I13" s="12">
        <f>IF($B$1&lt;&gt;"",COUNTIFS(Base!$C:$C,Análise!$B$1,Base!$L:$L,Análise!$H13),COUNTIF(Base!$L:$L,Análise!$H13))</f>
        <v>0</v>
      </c>
      <c r="L13" s="12" t="s">
        <v>19</v>
      </c>
      <c r="M13" s="12">
        <f>IF($B$1&lt;&gt;"",COUNTIFS(Base!$C:$C,Análise!$B$1,Base!$R:$R,Análise!L$13),COUNTIF(Base!$R:$R,Análise!L$13))</f>
        <v>0</v>
      </c>
      <c r="N13" s="6"/>
      <c r="O13" s="12" t="s">
        <v>5</v>
      </c>
      <c r="P13" s="12">
        <f>IF($B$1&lt;&gt;"",COUNTIFS(Base!$C:$C,Análise!$B$1,Base!$AI:$AI,Análise!P$12),COUNTIF(Base!$AI:$AI,Análise!P$12))</f>
        <v>0</v>
      </c>
      <c r="Q13" s="12">
        <f>IF($B$1&lt;&gt;"",COUNTIFS(Base!$C:$C,Análise!$B$1,Base!$AI:$AI,Análise!Q$12),COUNTIF(Base!$AI:$AI,Análise!Q$12))</f>
        <v>0</v>
      </c>
      <c r="R13" s="12">
        <f>IF($B$1&lt;&gt;"",COUNTIFS(Base!$C:$C,Análise!$B$1,Base!$AI:$AI,Análise!R$12),COUNTIF(Base!$AI:$AI,Análise!R$12))</f>
        <v>0</v>
      </c>
      <c r="S13" s="12">
        <f>IF($B$1&lt;&gt;"",COUNTIFS(Base!$C:$C,Análise!$B$1,Base!$AI:$AI,Análise!S$12),COUNTIF(Base!$AI:$AI,Análise!S$12))</f>
        <v>0</v>
      </c>
      <c r="T13" s="12">
        <f>IF($B$1&lt;&gt;"",COUNTIFS(Base!$C:$C,Análise!$B$1,Base!$AI:$AI,Análise!T$12),COUNTIF(Base!$AI:$AI,Análise!T$12))</f>
        <v>0</v>
      </c>
      <c r="U13" s="6"/>
    </row>
    <row r="14" spans="1:21" x14ac:dyDescent="0.3">
      <c r="A14" s="22" t="s">
        <v>235</v>
      </c>
      <c r="B14" s="12">
        <f>IF($B$1&lt;&gt;"",COUNTIFS(Base!$F:$F,Análise!$A14,Base!$C:$C,Análise!$B$1),COUNTIF(Base!$F:$F,Análise!$A14))</f>
        <v>0</v>
      </c>
      <c r="D14" s="21" t="s">
        <v>149</v>
      </c>
      <c r="E14" s="12">
        <f>IF($B$1&lt;&gt;"",COUNTIFS(Base!$C:$C,Análise!$B$1,Base!$G:$G,Análise!$D14),COUNTIF(Base!$G:$G,Análise!$D14))</f>
        <v>0</v>
      </c>
      <c r="H14" s="19" t="s">
        <v>15</v>
      </c>
      <c r="I14" s="12">
        <f>IF($B$1&lt;&gt;"",COUNTIFS(Base!$C:$C,Análise!$B$1,Base!$L:$L,Análise!$H14),COUNTIF(Base!$L:$L,Análise!$H14))</f>
        <v>0</v>
      </c>
      <c r="L14" s="12" t="s">
        <v>46</v>
      </c>
      <c r="M14" s="12">
        <f>IF($B$1&lt;&gt;"",COUNTIFS(Base!$C:$C,Análise!$B$1,Base!$R:$R,Análise!L$14),COUNTIF(Base!$R:$R,Análise!L$14))</f>
        <v>0</v>
      </c>
    </row>
    <row r="15" spans="1:21" x14ac:dyDescent="0.3">
      <c r="A15" s="22" t="s">
        <v>236</v>
      </c>
      <c r="B15" s="12">
        <f>IF($B$1&lt;&gt;"",COUNTIFS(Base!$F:$F,Análise!$A15,Base!$C:$C,Análise!$B$1),COUNTIF(Base!$F:$F,Análise!$A15))</f>
        <v>0</v>
      </c>
      <c r="D15" s="21" t="s">
        <v>150</v>
      </c>
      <c r="E15" s="12">
        <f>IF($B$1&lt;&gt;"",COUNTIFS(Base!$C:$C,Análise!$B$1,Base!$G:$G,Análise!$D15),COUNTIF(Base!$G:$G,Análise!$D15))</f>
        <v>0</v>
      </c>
      <c r="H15" s="19" t="s">
        <v>188</v>
      </c>
      <c r="I15" s="12">
        <f>IF($B$1&lt;&gt;"",COUNTIFS(Base!$C:$C,Análise!$B$1,Base!$L:$L,Análise!$H15),COUNTIF(Base!$L:$L,Análise!$H15))</f>
        <v>0</v>
      </c>
      <c r="L15" s="12" t="s">
        <v>87</v>
      </c>
      <c r="M15" s="12">
        <f>IF($B$1&lt;&gt;"",COUNTIFS(Base!$C:$C,Análise!$B$1,Base!$R:$R,Análise!L$15),COUNTIF(Base!$R:$R,Análise!L$15))</f>
        <v>0</v>
      </c>
    </row>
    <row r="16" spans="1:21" x14ac:dyDescent="0.3">
      <c r="A16" s="22" t="s">
        <v>237</v>
      </c>
      <c r="B16" s="12">
        <f>IF($B$1&lt;&gt;"",COUNTIFS(Base!$F:$F,Análise!$A16,Base!$C:$C,Análise!$B$1),COUNTIF(Base!$F:$F,Análise!$A16))</f>
        <v>0</v>
      </c>
      <c r="D16" s="21" t="s">
        <v>255</v>
      </c>
      <c r="E16" s="12">
        <f>IF($B$1&lt;&gt;"",COUNTIFS(Base!$C:$C,Análise!$B$1,Base!$G:$G,"&lt;&gt;"&amp;"",Base!$G:$G,"&lt;&gt;"&amp;Base!$G$5,Base!G:G,"&lt;&gt;"&amp;Análise!$D10,Base!G:G,"&lt;&gt;"&amp;Análise!$D11,Base!G:G,"&lt;&gt;"&amp;Análise!$D12,Base!G:G,"&lt;&gt;"&amp;Análise!$D13,Base!G:G,"&lt;&gt;"&amp;Análise!$D14,Base!G:G,"&lt;&gt;"&amp;Análise!$D15),COUNTIFS(Base!$G:$G,"&lt;&gt;"&amp;"",Base!$G:$G,"&lt;&gt;"&amp;Base!$G$5,Base!G:G,"&lt;&gt;"&amp;Análise!$D10,Base!G:G,"&lt;&gt;"&amp;Análise!$D11,Base!G:G,"&lt;&gt;"&amp;Análise!$D12,Base!G:G,"&lt;&gt;"&amp;Análise!$D13,Base!G:G,"&lt;&gt;"&amp;Análise!$D14,Base!G:G,"&lt;&gt;"&amp;Análise!$D15))</f>
        <v>0</v>
      </c>
      <c r="H16" s="19" t="s">
        <v>147</v>
      </c>
      <c r="I16" s="12">
        <f>IF($B$1&lt;&gt;"",COUNTIFS(Base!$C:$C,Análise!$B$1,Base!$L:$L,Análise!$H16),COUNTIF(Base!$L:$L,Análise!$H16))</f>
        <v>0</v>
      </c>
      <c r="L16" s="12" t="s">
        <v>124</v>
      </c>
      <c r="M16" s="12">
        <f>IF($B$1&lt;&gt;"",COUNTIFS(Base!$C:$C,Análise!$B$1,Base!$R:$R,Análise!L$16),COUNTIF(Base!$R:$R,Análise!L$16))</f>
        <v>0</v>
      </c>
    </row>
    <row r="17" spans="1:20" x14ac:dyDescent="0.3">
      <c r="A17" s="22" t="s">
        <v>238</v>
      </c>
      <c r="B17" s="12">
        <f>IF($B$1&lt;&gt;"",COUNTIFS(Base!$F:$F,Análise!$A17,Base!$C:$C,Análise!$B$1),COUNTIF(Base!$F:$F,Análise!$A17))</f>
        <v>0</v>
      </c>
      <c r="C17" s="6"/>
      <c r="D17" s="6"/>
      <c r="E17" s="6"/>
      <c r="H17" s="19" t="s">
        <v>44</v>
      </c>
      <c r="I17" s="12">
        <f>IF($B$1&lt;&gt;"",COUNTIFS(Base!$C:$C,Análise!$B$1,Base!$L:$L,Análise!$H17),COUNTIF(Base!$L:$L,Análise!$H17))</f>
        <v>0</v>
      </c>
      <c r="L17" s="12" t="s">
        <v>87</v>
      </c>
      <c r="M17" s="12">
        <f>IF($B$1&lt;&gt;"",COUNTIFS(Base!$C:$C,Análise!$B$1,Base!$R:$R,Análise!L$17),COUNTIF(Base!$R:$R,Análise!L$17))</f>
        <v>0</v>
      </c>
    </row>
    <row r="18" spans="1:20" x14ac:dyDescent="0.3">
      <c r="A18" s="22" t="s">
        <v>239</v>
      </c>
      <c r="B18" s="12">
        <f>IF($B$1&lt;&gt;"",COUNTIFS(Base!$F:$F,Análise!$A18,Base!$C:$C,Análise!$B$1),COUNTIF(Base!$F:$F,Análise!$A18))</f>
        <v>0</v>
      </c>
      <c r="D18" s="15" t="s">
        <v>256</v>
      </c>
      <c r="E18" s="15" t="s">
        <v>153</v>
      </c>
      <c r="L18" s="12" t="s">
        <v>268</v>
      </c>
      <c r="M18" s="12">
        <f>IF($B$1&lt;&gt;"",COUNTIFS(Base!$C:$C,Análise!$B$1,Base!$R:$R,Análise!L$18),COUNTIF(Base!$R:$R,Análise!L$18))</f>
        <v>0</v>
      </c>
    </row>
    <row r="19" spans="1:20" x14ac:dyDescent="0.3">
      <c r="A19" s="22" t="s">
        <v>240</v>
      </c>
      <c r="B19" s="12">
        <f>IF($B$1&lt;&gt;"",COUNTIFS(Base!$F:$F,Análise!$A19,Base!$C:$C,Análise!$B$1),COUNTIF(Base!$F:$F,Análise!$A19))</f>
        <v>0</v>
      </c>
      <c r="D19" s="16" t="s">
        <v>13</v>
      </c>
      <c r="E19" s="12">
        <f>IF($B$1&lt;&gt;"",COUNTIFS(Base!C:C,Análise!$B$1,Base!$J:$J,Análise!$D19),COUNTIFS(Base!$J:$J,Análise!$D19))</f>
        <v>0</v>
      </c>
      <c r="H19" s="15" t="s">
        <v>190</v>
      </c>
      <c r="I19" s="15" t="s">
        <v>153</v>
      </c>
      <c r="L19" s="12" t="s">
        <v>102</v>
      </c>
      <c r="M19" s="12">
        <f>IF($B$1&lt;&gt;"",COUNTIFS(Base!$C:$C,Análise!$B$1,Base!$R:$R,Análise!L$19),COUNTIF(Base!$R:$R,Análise!L$19))</f>
        <v>0</v>
      </c>
    </row>
    <row r="20" spans="1:20" x14ac:dyDescent="0.3">
      <c r="A20" s="22" t="s">
        <v>241</v>
      </c>
      <c r="B20" s="12">
        <f>IF($B$1&lt;&gt;"",COUNTIFS(Base!$F:$F,Análise!$A20,Base!$C:$C,Análise!$B$1),COUNTIF(Base!$F:$F,Análise!$A20))</f>
        <v>0</v>
      </c>
      <c r="D20" s="16" t="s">
        <v>61</v>
      </c>
      <c r="E20" s="12">
        <f>IF($B$1&lt;&gt;"",COUNTIFS(Base!C:C,Análise!$B$1,Base!$J:$J,Análise!$D20),COUNTIFS(Base!$J:$J,Análise!$D20))</f>
        <v>0</v>
      </c>
      <c r="H20" s="19" t="s">
        <v>16</v>
      </c>
      <c r="I20" s="12">
        <f>IF($B$1&lt;&gt;"",COUNTIFS(Base!$C:$C,Análise!$B$1,Base!$M:$M,Análise!$H20),COUNTIF(Base!$M:$M,Análise!$H20))</f>
        <v>0</v>
      </c>
    </row>
    <row r="21" spans="1:20" x14ac:dyDescent="0.3">
      <c r="A21" s="22" t="s">
        <v>242</v>
      </c>
      <c r="B21" s="12">
        <f>IF($B$1&lt;&gt;"",COUNTIFS(Base!$F:$F,Análise!$A21,Base!$C:$C,Análise!$B$1),COUNTIF(Base!$F:$F,Análise!$A21))</f>
        <v>0</v>
      </c>
      <c r="D21" s="16" t="s">
        <v>144</v>
      </c>
      <c r="E21" s="12">
        <f>IF($B$1&lt;&gt;"",COUNTIFS(Base!C:C,Análise!$B$1,Base!$J:$J,Análise!$D21),COUNTIFS(Base!$J:$J,Análise!$D21))</f>
        <v>0</v>
      </c>
      <c r="H21" s="19" t="s">
        <v>80</v>
      </c>
      <c r="I21" s="12">
        <f>IF($B$1&lt;&gt;"",COUNTIFS(Base!$C:$C,Análise!$B$1,Base!$M:$M,Análise!$H21),COUNTIF(Base!$M:$M,Análise!$H21))</f>
        <v>0</v>
      </c>
    </row>
    <row r="22" spans="1:20" x14ac:dyDescent="0.3">
      <c r="A22" s="22" t="s">
        <v>67</v>
      </c>
      <c r="B22" s="12">
        <f>IF($B$1&lt;&gt;"",COUNTIFS(Base!$F:$F,Análise!$A22,Base!$C:$C,Análise!$B$1),COUNTIF(Base!$F:$F,Análise!$A22))</f>
        <v>0</v>
      </c>
      <c r="D22" s="16" t="s">
        <v>257</v>
      </c>
      <c r="E22" s="12">
        <f>IF($B$1&lt;&gt;"",COUNTIFS(Base!C:C,Análise!$B$1,Base!$J:$J,Análise!$D22),COUNTIFS(Base!$J:$J,Análise!$D22))</f>
        <v>0</v>
      </c>
      <c r="H22" s="19" t="s">
        <v>145</v>
      </c>
      <c r="I22" s="12">
        <f>IF($B$1&lt;&gt;"",COUNTIFS(Base!$C:$C,Análise!$B$1,Base!$M:$M,Análise!$H22),COUNTIF(Base!$M:$M,Análise!$H22))</f>
        <v>0</v>
      </c>
    </row>
    <row r="23" spans="1:20" x14ac:dyDescent="0.3">
      <c r="A23" s="22" t="s">
        <v>133</v>
      </c>
      <c r="B23" s="12">
        <f>IF($B$1&lt;&gt;"",COUNTIFS(Base!$F:$F,Análise!$A23,Base!$C:$C,Análise!$B$1),COUNTIF(Base!$F:$F,Análise!$A23))</f>
        <v>0</v>
      </c>
      <c r="H23" s="19" t="s">
        <v>134</v>
      </c>
      <c r="I23" s="12">
        <f>IF($B$1&lt;&gt;"",COUNTIFS(Base!$C:$C,Análise!$B$1,Base!$M:$M,Análise!$H23),COUNTIF(Base!$M:$M,Análise!$H23))</f>
        <v>0</v>
      </c>
      <c r="L23" s="15" t="s">
        <v>265</v>
      </c>
      <c r="M23" s="15" t="s">
        <v>36</v>
      </c>
      <c r="N23" s="15" t="s">
        <v>32</v>
      </c>
      <c r="O23" s="15" t="s">
        <v>56</v>
      </c>
      <c r="P23" s="15" t="s">
        <v>35</v>
      </c>
      <c r="Q23" s="15" t="s">
        <v>29</v>
      </c>
      <c r="S23" s="15">
        <v>41</v>
      </c>
      <c r="T23" s="15" t="s">
        <v>222</v>
      </c>
    </row>
    <row r="24" spans="1:20" x14ac:dyDescent="0.3">
      <c r="A24" s="22" t="s">
        <v>243</v>
      </c>
      <c r="B24" s="12">
        <f>IF($B$1&lt;&gt;"",COUNTIFS(Base!$F:$F,Análise!$A24,Base!$C:$C,Análise!$B$1),COUNTIF(Base!$F:$F,Análise!$A24))</f>
        <v>0</v>
      </c>
      <c r="D24" s="15" t="s">
        <v>189</v>
      </c>
      <c r="E24" s="15" t="s">
        <v>153</v>
      </c>
      <c r="H24" s="19" t="s">
        <v>191</v>
      </c>
      <c r="I24" s="12">
        <f>IF($B$1&lt;&gt;"",COUNTIFS(Base!$C:$C,Análise!$B$1,Base!$M:$M,Análise!$H24),COUNTIF(Base!$M:$M,Análise!$H24))</f>
        <v>0</v>
      </c>
      <c r="L24" s="12" t="s">
        <v>168</v>
      </c>
      <c r="M24" s="12">
        <f>IF($B$1&lt;&gt;"",COUNTIFS(Base!$C:$C,Análise!$B$1,Base!$AZ:$AZ,Análise!$M23),COUNTIF(Base!$AZ:$AZ,Análise!$M23))</f>
        <v>0</v>
      </c>
      <c r="N24" s="12">
        <f>IF($B$1&lt;&gt;"",COUNTIFS(Base!$C:$C,Análise!$B$1,Base!$AZ:$AZ,Análise!$N23),COUNTIF(Base!$AZ:$AZ,Análise!$N23))</f>
        <v>0</v>
      </c>
      <c r="O24" s="12">
        <f>IF($B$1&lt;&gt;"",COUNTIFS(Base!$C:$C,Análise!$B$1,Base!$AZ:$AZ,Análise!$O23),COUNTIF(Base!$AZ:$AZ,Análise!$O23))</f>
        <v>0</v>
      </c>
      <c r="P24" s="12">
        <f>IF($B$1&lt;&gt;"",COUNTIFS(Base!$C:$C,Análise!$B$1,Base!$AZ:$AZ,Análise!$P23),COUNTIF(Base!$AZ:$AZ,Análise!$P23))</f>
        <v>0</v>
      </c>
      <c r="Q24" s="12">
        <f>IF($B$1&lt;&gt;"",COUNTIFS(Base!$C:$C,Análise!$B$1,Base!$AZ:$AZ,Análise!$Q23),COUNTIF(Base!$AZ:$AZ,Análise!$Q23))</f>
        <v>0</v>
      </c>
      <c r="S24" s="12" t="s">
        <v>60</v>
      </c>
      <c r="T24" s="12">
        <f>IF($B$1&lt;&gt;"",COUNTIFS(Base!$C:$C,Análise!$B$1,Base!$BT:$BT,Análise!$S24),COUNTIF(Base!$BT:$BT,Análise!$S24))</f>
        <v>0</v>
      </c>
    </row>
    <row r="25" spans="1:20" x14ac:dyDescent="0.3">
      <c r="A25" s="22" t="s">
        <v>244</v>
      </c>
      <c r="B25" s="12">
        <f>IF($B$1&lt;&gt;"",COUNTIFS(Base!$F:$F,Análise!$A25,Base!$C:$C,Análise!$B$1),COUNTIF(Base!$F:$F,Análise!$A25))</f>
        <v>0</v>
      </c>
      <c r="D25" s="19" t="s">
        <v>14</v>
      </c>
      <c r="E25" s="12">
        <f>IF($B$1&lt;&gt;"",COUNTIFS(Base!$C:$C,Análise!$B$1,Base!$K:$K,Análise!$D25),COUNTIF(Base!$K:$K,Análise!$D25))</f>
        <v>0</v>
      </c>
      <c r="H25" s="19" t="s">
        <v>192</v>
      </c>
      <c r="I25" s="12">
        <f>IF($B$1&lt;&gt;"",COUNTIFS(Base!$C:$C,Análise!$B$1,Base!$M:$M,Análise!$H25),COUNTIF(Base!$M:$M,Análise!$H25))</f>
        <v>0</v>
      </c>
      <c r="L25" s="12" t="s">
        <v>47</v>
      </c>
      <c r="M25" s="12">
        <f>IF($B$1&lt;&gt;"",COUNTIFS(Base!$C:$C,Análise!$B$1,Base!$BA:$BA,Análise!$M23),COUNTIF(Base!$BA:$BA,Análise!$M23))</f>
        <v>0</v>
      </c>
      <c r="N25" s="12">
        <f>IF($B$1&lt;&gt;"",COUNTIFS(Base!$C:$C,Análise!$B$1,Base!$BA:$BA,Análise!$N23),COUNTIF(Base!$BA:$BA,Análise!$N23))</f>
        <v>0</v>
      </c>
      <c r="O25" s="12">
        <f>IF($B$1&lt;&gt;"",COUNTIFS(Base!$C:$C,Análise!$B$1,Base!$BA:$BA,Análise!$O23),COUNTIF(Base!$BA:$BA,Análise!$O23))</f>
        <v>0</v>
      </c>
      <c r="P25" s="12">
        <f>IF($B$1&lt;&gt;"",COUNTIFS(Base!$C:$C,Análise!$B$1,Base!$BA:$BA,Análise!$P23),COUNTIF(Base!$BA:$BA,Análise!$P23))</f>
        <v>0</v>
      </c>
      <c r="Q25" s="12">
        <f>IF($B$1&lt;&gt;"",COUNTIFS(Base!$C:$C,Análise!$B$1,Base!$BA:$BA,Análise!$Q23),COUNTIF(Base!$BA:$BA,Análise!$Q23))</f>
        <v>0</v>
      </c>
      <c r="S25" s="12" t="s">
        <v>83</v>
      </c>
      <c r="T25" s="12">
        <f>IF($B$1&lt;&gt;"",COUNTIFS(Base!$C:$C,Análise!$B$1,Base!$BT:$BT,Análise!$S25),COUNTIF(Base!$BT:$BT,Análise!$S25))</f>
        <v>0</v>
      </c>
    </row>
    <row r="26" spans="1:20" x14ac:dyDescent="0.3">
      <c r="A26" s="22" t="s">
        <v>117</v>
      </c>
      <c r="B26" s="12">
        <f>IF($B$1&lt;&gt;"",COUNTIFS(Base!$F:$F,Análise!$A26,Base!$C:$C,Análise!$B$1),COUNTIF(Base!$F:$F,Análise!$A26))</f>
        <v>0</v>
      </c>
      <c r="D26" s="19" t="s">
        <v>106</v>
      </c>
      <c r="E26" s="12">
        <f>IF($B$1&lt;&gt;"",COUNTIFS(Base!$C:$C,Análise!$B$1,Base!$K:$K,Análise!$D26),COUNTIF(Base!$K:$K,Análise!$D26))</f>
        <v>0</v>
      </c>
      <c r="L26" s="12" t="s">
        <v>169</v>
      </c>
      <c r="M26" s="12">
        <f>IF($B$1&lt;&gt;"",COUNTIFS(Base!$C:$C,Análise!$B$1,Base!$BB:$BB,Análise!$M23),COUNTIF(Base!$BB:$BB,Análise!$M23))</f>
        <v>0</v>
      </c>
      <c r="N26" s="12">
        <f>IF($B$1&lt;&gt;"",COUNTIFS(Base!$C:$C,Análise!$B$1,Base!$BB:$BB,Análise!$N23),COUNTIF(Base!$BB:$BB,Análise!$N23))</f>
        <v>0</v>
      </c>
      <c r="O26" s="12">
        <f>IF($B$1&lt;&gt;"",COUNTIFS(Base!$C:$C,Análise!$B$1,Base!$BB:$BB,Análise!$O23),COUNTIF(Base!$BB:$BB,Análise!$O23))</f>
        <v>0</v>
      </c>
      <c r="P26" s="12">
        <f>IF($B$1&lt;&gt;"",COUNTIFS(Base!$C:$C,Análise!$B$1,Base!$BB:$BB,Análise!$P23),COUNTIF(Base!$BB:$BB,Análise!$P23))</f>
        <v>0</v>
      </c>
      <c r="Q26" s="12">
        <f>IF($B$1&lt;&gt;"",COUNTIFS(Base!$C:$C,Análise!$B$1,Base!$BB:$BB,Análise!$Q23),COUNTIF(Base!$BB:$BB,Análise!$Q23))</f>
        <v>0</v>
      </c>
      <c r="S26" s="12" t="s">
        <v>110</v>
      </c>
      <c r="T26" s="12">
        <f>IF($B$1&lt;&gt;"",COUNTIFS(Base!$C:$C,Análise!$B$1,Base!$BT:$BT,Análise!$S26),COUNTIF(Base!$BT:$BT,Análise!$S26))</f>
        <v>0</v>
      </c>
    </row>
    <row r="27" spans="1:20" x14ac:dyDescent="0.3">
      <c r="A27" s="22" t="s">
        <v>245</v>
      </c>
      <c r="B27" s="12">
        <f>IF($B$1&lt;&gt;"",COUNTIFS(Base!$F:$F,Análise!$A27,Base!$C:$C,Análise!$B$1),COUNTIF(Base!$F:$F,Análise!$A27))</f>
        <v>0</v>
      </c>
      <c r="D27" s="19" t="s">
        <v>187</v>
      </c>
      <c r="E27" s="12">
        <f>IF($B$1&lt;&gt;"",COUNTIFS(Base!$C:$C,Análise!$B$1,Base!$K:$K,Análise!$D27),COUNTIF(Base!$K:$K,Análise!$D27))</f>
        <v>0</v>
      </c>
      <c r="H27" s="15" t="s">
        <v>3</v>
      </c>
      <c r="I27" s="15" t="s">
        <v>153</v>
      </c>
      <c r="L27" s="12" t="s">
        <v>170</v>
      </c>
      <c r="M27" s="12">
        <f>IF($B$1&lt;&gt;"",COUNTIFS(Base!$C:$C,Análise!$B$1,Base!$BC:$BC,Análise!$M23),COUNTIF(Base!$BC:$BC,Análise!$M23))</f>
        <v>0</v>
      </c>
      <c r="N27" s="12">
        <f>IF($B$1&lt;&gt;"",COUNTIFS(Base!$C:$C,Análise!$B$1,Base!$BC:$BC,Análise!$N23),COUNTIF(Base!$BC:$BC,Análise!$N23))</f>
        <v>0</v>
      </c>
      <c r="O27" s="12">
        <f>IF($B$1&lt;&gt;"",COUNTIFS(Base!$C:$C,Análise!$B$1,Base!$BC:$BC,Análise!$O23),COUNTIF(Base!$BC:$BC,Análise!$O23))</f>
        <v>0</v>
      </c>
      <c r="P27" s="12">
        <f>IF($B$1&lt;&gt;"",COUNTIFS(Base!$C:$C,Análise!$B$1,Base!$BC:$BC,Análise!$P23),COUNTIF(Base!$BC:$BC,Análise!$P23))</f>
        <v>0</v>
      </c>
      <c r="Q27" s="12">
        <f>IF($B$1&lt;&gt;"",COUNTIFS(Base!$C:$C,Análise!$B$1,Base!$BC:$BC,Análise!$Q23),COUNTIF(Base!$BC:$BC,Análise!$Q23))</f>
        <v>0</v>
      </c>
      <c r="S27" s="12" t="s">
        <v>75</v>
      </c>
      <c r="T27" s="12">
        <f>IF($B$1&lt;&gt;"",COUNTIFS(Base!$C:$C,Análise!$B$1,Base!$BT:$BT,Análise!$S27),COUNTIF(Base!$BT:$BT,Análise!$S27))</f>
        <v>0</v>
      </c>
    </row>
    <row r="28" spans="1:20" x14ac:dyDescent="0.3">
      <c r="A28" s="22" t="s">
        <v>246</v>
      </c>
      <c r="B28" s="12">
        <f>IF($B$1&lt;&gt;"",COUNTIFS(Base!$F:$F,Análise!$A28,Base!$C:$C,Análise!$B$1),COUNTIF(Base!$F:$F,Análise!$A28))</f>
        <v>0</v>
      </c>
      <c r="D28" s="19" t="s">
        <v>79</v>
      </c>
      <c r="E28" s="12">
        <f>IF($B$1&lt;&gt;"",COUNTIFS(Base!$C:$C,Análise!$B$1,Base!$K:$K,Análise!$D28),COUNTIF(Base!$K:$K,Análise!$D28))</f>
        <v>0</v>
      </c>
      <c r="H28" s="20">
        <v>1</v>
      </c>
      <c r="I28" s="12">
        <f>IF($B$1&lt;&gt;"",COUNTIFS(Base!$C:$C,Análise!$B$1,Base!$O:$O,Análise!$H28),COUNTIF(Base!$O:$O,Análise!$H28))</f>
        <v>0</v>
      </c>
      <c r="L28" s="12" t="s">
        <v>171</v>
      </c>
      <c r="M28" s="12">
        <f>IF($B$1&lt;&gt;"",COUNTIFS(Base!$C:$C,Análise!$B$1,Base!$BD:$BD,Análise!$M23),COUNTIF(Base!$BD:$BD,Análise!$M23))</f>
        <v>0</v>
      </c>
      <c r="N28" s="12">
        <f>IF($B$1&lt;&gt;"",COUNTIFS(Base!$C:$C,Análise!$B$1,Base!$BD:$BD,Análise!$N23),COUNTIF(Base!$BD:$BD,Análise!$N23))</f>
        <v>0</v>
      </c>
      <c r="O28" s="12">
        <f>IF($B$1&lt;&gt;"",COUNTIFS(Base!$C:$C,Análise!$B$1,Base!$BD:$BD,Análise!$O23),COUNTIF(Base!$BD:$BD,Análise!$O23))</f>
        <v>0</v>
      </c>
      <c r="P28" s="12">
        <f>IF($B$1&lt;&gt;"",COUNTIFS(Base!$C:$C,Análise!$B$1,Base!$BD:$BD,Análise!$P23),COUNTIF(Base!$BD:$BD,Análise!$P23))</f>
        <v>0</v>
      </c>
      <c r="Q28" s="12">
        <f>IF($B$1&lt;&gt;"",COUNTIFS(Base!$C:$C,Análise!$B$1,Base!$BD:$BD,Análise!$Q23),COUNTIF(Base!$BD:$BD,Análise!$Q23))</f>
        <v>0</v>
      </c>
      <c r="S28" s="12" t="s">
        <v>41</v>
      </c>
      <c r="T28" s="12">
        <f>IF($B$1&lt;&gt;"",COUNTIFS(Base!$C:$C,Análise!$B$1,Base!$BT:$BT,Análise!$S28),COUNTIF(Base!$BT:$BT,Análise!$S28))</f>
        <v>0</v>
      </c>
    </row>
    <row r="29" spans="1:20" x14ac:dyDescent="0.3">
      <c r="A29" s="22" t="s">
        <v>247</v>
      </c>
      <c r="B29" s="12">
        <f>IF($B$1&lt;&gt;"",COUNTIFS(Base!$F:$F,Análise!$A29,Base!$C:$C,Análise!$B$1),COUNTIF(Base!$F:$F,Análise!$A29))</f>
        <v>0</v>
      </c>
      <c r="D29" s="19" t="s">
        <v>15</v>
      </c>
      <c r="E29" s="12">
        <f>IF($B$1&lt;&gt;"",COUNTIFS(Base!$C:$C,Análise!$B$1,Base!$K:$K,Análise!$D29),COUNTIF(Base!$K:$K,Análise!$D29))</f>
        <v>0</v>
      </c>
      <c r="H29" s="20">
        <v>2</v>
      </c>
      <c r="I29" s="12">
        <f>IF($B$1&lt;&gt;"",COUNTIFS(Base!$C:$C,Análise!$B$1,Base!$O:$O,Análise!$H29),COUNTIF(Base!$O:$O,Análise!$H29))</f>
        <v>0</v>
      </c>
      <c r="L29" s="12" t="s">
        <v>172</v>
      </c>
      <c r="M29" s="12">
        <f>IF($B$1&lt;&gt;"",COUNTIFS(Base!$C:$C,Análise!$B$1,Base!$BE:$BE,Análise!$M23),COUNTIF(Base!$BE:$BE,Análise!$M23))</f>
        <v>0</v>
      </c>
      <c r="N29" s="12">
        <f>IF($B$1&lt;&gt;"",COUNTIFS(Base!$C:$C,Análise!$B$1,Base!$BE:$BE,Análise!$N23),COUNTIF(Base!$BE:$BE,Análise!$N23))</f>
        <v>0</v>
      </c>
      <c r="O29" s="12">
        <f>IF($B$1&lt;&gt;"",COUNTIFS(Base!$C:$C,Análise!$B$1,Base!$BE:$BE,Análise!$O23),COUNTIF(Base!$BE:$BE,Análise!$O23))</f>
        <v>0</v>
      </c>
      <c r="P29" s="12">
        <f>IF($B$1&lt;&gt;"",COUNTIFS(Base!$C:$C,Análise!$B$1,Base!$BE:$BE,Análise!$P23),COUNTIF(Base!$BE:$BE,Análise!$P23))</f>
        <v>0</v>
      </c>
      <c r="Q29" s="12">
        <f>IF($B$1&lt;&gt;"",COUNTIFS(Base!$C:$C,Análise!$B$1,Base!$BE:$BE,Análise!$Q23),COUNTIF(Base!$BE:$BE,Análise!$Q23))</f>
        <v>0</v>
      </c>
      <c r="S29" s="12" t="s">
        <v>100</v>
      </c>
      <c r="T29" s="12">
        <f>IF($B$1&lt;&gt;"",COUNTIFS(Base!$C:$C,Análise!$B$1,Base!$BT:$BT,Análise!$S29),COUNTIF(Base!$BT:$BT,Análise!$S29))</f>
        <v>0</v>
      </c>
    </row>
    <row r="30" spans="1:20" x14ac:dyDescent="0.3">
      <c r="A30" s="22" t="s">
        <v>248</v>
      </c>
      <c r="B30" s="12">
        <f>IF($B$1&lt;&gt;"",COUNTIFS(Base!$F:$F,Análise!$A30,Base!$C:$C,Análise!$B$1),COUNTIF(Base!$F:$F,Análise!$A30))</f>
        <v>0</v>
      </c>
      <c r="D30" s="19" t="s">
        <v>188</v>
      </c>
      <c r="E30" s="12">
        <f>IF($B$1&lt;&gt;"",COUNTIFS(Base!$C:$C,Análise!$B$1,Base!$K:$K,Análise!$D30),COUNTIF(Base!$K:$K,Análise!$D30))</f>
        <v>0</v>
      </c>
      <c r="H30" s="20">
        <v>3</v>
      </c>
      <c r="I30" s="12">
        <f>IF($B$1&lt;&gt;"",COUNTIFS(Base!$C:$C,Análise!$B$1,Base!$O:$O,Análise!$H30),COUNTIF(Base!$O:$O,Análise!$H30))</f>
        <v>0</v>
      </c>
      <c r="L30" s="12" t="s">
        <v>173</v>
      </c>
      <c r="M30" s="12">
        <f>IF($B$1&lt;&gt;"",COUNTIFS(Base!$C:$C,Análise!$B$1,Base!$BF:$BF,Análise!$M23),COUNTIF(Base!$BF:$BF,Análise!$M23))</f>
        <v>0</v>
      </c>
      <c r="N30" s="12">
        <f>IF($B$1&lt;&gt;"",COUNTIFS(Base!$C:$C,Análise!$B$1,Base!$BF:$BF,Análise!$N23),COUNTIF(Base!$BF:$BF,Análise!$N23))</f>
        <v>0</v>
      </c>
      <c r="O30" s="12">
        <f>IF($B$1&lt;&gt;"",COUNTIFS(Base!$C:$C,Análise!$B$1,Base!$BF:$BF,Análise!$O23),COUNTIF(Base!$BF:$BF,Análise!$O23))</f>
        <v>0</v>
      </c>
      <c r="P30" s="12">
        <f>IF($B$1&lt;&gt;"",COUNTIFS(Base!$C:$C,Análise!$B$1,Base!$BF:$BF,Análise!$P23),COUNTIF(Base!$BF:$BF,Análise!$P23))</f>
        <v>0</v>
      </c>
      <c r="Q30" s="12">
        <f>IF($B$1&lt;&gt;"",COUNTIFS(Base!$C:$C,Análise!$B$1,Base!$BF:$BF,Análise!$Q23),COUNTIF(Base!$BF:$BF,Análise!$Q23))</f>
        <v>0</v>
      </c>
      <c r="S30" s="12" t="s">
        <v>127</v>
      </c>
      <c r="T30" s="12">
        <f>IF($B$1&lt;&gt;"",COUNTIFS(Base!$C:$C,Análise!$B$1,Base!$BT:$BT,Análise!$S30),COUNTIF(Base!$BT:$BT,Análise!$S30))</f>
        <v>0</v>
      </c>
    </row>
    <row r="31" spans="1:20" x14ac:dyDescent="0.3">
      <c r="A31" s="22" t="s">
        <v>249</v>
      </c>
      <c r="B31" s="12">
        <f>IF($B$1&lt;&gt;"",COUNTIFS(Base!$F:$F,Análise!$A31,Base!$C:$C,Análise!$B$1),COUNTIF(Base!$F:$F,Análise!$A31))</f>
        <v>0</v>
      </c>
      <c r="H31" s="20">
        <v>4</v>
      </c>
      <c r="I31" s="12">
        <f>IF($B$1&lt;&gt;"",COUNTIFS(Base!$C:$C,Análise!$B$1,Base!$O:$O,Análise!$H31),COUNTIF(Base!$O:$O,Análise!$H31))</f>
        <v>0</v>
      </c>
    </row>
    <row r="32" spans="1:20" x14ac:dyDescent="0.3">
      <c r="A32" s="22" t="s">
        <v>250</v>
      </c>
      <c r="B32" s="12">
        <f>IF($B$1&lt;&gt;"",COUNTIFS(Base!$F:$F,Análise!$A32,Base!$C:$C,Análise!$B$1),COUNTIF(Base!$F:$F,Análise!$A32))</f>
        <v>0</v>
      </c>
      <c r="D32" s="15" t="s">
        <v>258</v>
      </c>
      <c r="E32" s="15" t="s">
        <v>153</v>
      </c>
      <c r="H32" s="20">
        <v>5</v>
      </c>
      <c r="I32" s="12">
        <f>IF($B$1&lt;&gt;"",COUNTIFS(Base!$C:$C,Análise!$B$1,Base!$O:$O,Análise!$H32),COUNTIF(Base!$O:$O,Análise!$H32))</f>
        <v>0</v>
      </c>
      <c r="L32" s="15" t="s">
        <v>274</v>
      </c>
      <c r="M32" s="15" t="s">
        <v>153</v>
      </c>
      <c r="O32" s="15" t="s">
        <v>269</v>
      </c>
      <c r="P32" s="15" t="s">
        <v>153</v>
      </c>
      <c r="R32" s="15" t="s">
        <v>196</v>
      </c>
      <c r="S32" s="15" t="s">
        <v>197</v>
      </c>
      <c r="T32" s="15" t="s">
        <v>198</v>
      </c>
    </row>
    <row r="33" spans="1:20" x14ac:dyDescent="0.3">
      <c r="A33" s="22" t="s">
        <v>251</v>
      </c>
      <c r="B33" s="12">
        <f>IF($B$1&lt;&gt;"",COUNTIFS(Base!$F:$F,Análise!$A33,Base!$C:$C,Análise!$B$1),COUNTIF(Base!$F:$F,Análise!$A33))</f>
        <v>0</v>
      </c>
      <c r="D33" s="19" t="s">
        <v>18</v>
      </c>
      <c r="E33" s="12">
        <f>IF($B$1&lt;&gt;"",COUNTIFS(Base!$C:$C,Análise!$B$1,Base!$P:$P,Análise!$D33),COUNTIF(Base!$P:$P,Análise!$D33))</f>
        <v>0</v>
      </c>
      <c r="H33" s="20" t="s">
        <v>262</v>
      </c>
      <c r="I33" s="12">
        <f>IF($B$1&lt;&gt;"",COUNTIFS(Base!$C:$C,Análise!$B$1,Base!$O:$O,"&gt;5"),COUNTIF(Base!$O:$O,"&gt;5"))</f>
        <v>0</v>
      </c>
      <c r="L33" s="12" t="s">
        <v>14</v>
      </c>
      <c r="M33" s="12">
        <f>IF($B$1&lt;&gt;"",COUNTIFS(Base!$C:$C,Análise!$B$1,Base!$BL:$BL,Análise!$L33),COUNTIF(Base!$BL:$BL,Análise!$L33))</f>
        <v>0</v>
      </c>
      <c r="O33" s="12" t="s">
        <v>270</v>
      </c>
      <c r="P33" s="12">
        <f>IF($B$1&lt;&gt;"",COUNTIFS(Base!$C:$C,Análise!$B$1,Base!$AC:$AC,Análise!$O33),COUNTIF(Base!$AC:$AC,Análise!$O33))</f>
        <v>0</v>
      </c>
      <c r="R33" s="12" t="s">
        <v>194</v>
      </c>
      <c r="S33" s="12">
        <f>IF($B$1&lt;&gt;"",COUNTIFS(Base!$C:$C,Análise!$B$1,Base!$AJ:$AJ,Análise!$R33),COUNTIF(Base!$AJ:$AJ,Análise!$R33))</f>
        <v>0</v>
      </c>
      <c r="T33" s="12">
        <f>IF($B$1&lt;&gt;"",COUNTIFS(Base!$C:$C,Análise!$B$1,Base!$AK:$AK,Análise!$R33),COUNTIF(Base!$AK:$AK,Análise!$R33))</f>
        <v>0</v>
      </c>
    </row>
    <row r="34" spans="1:20" x14ac:dyDescent="0.3">
      <c r="A34" s="22" t="s">
        <v>252</v>
      </c>
      <c r="B34" s="12">
        <f>IF($B$1&lt;&gt;"",COUNTIFS(Base!$F:$F,Análise!$A34,Base!$C:$C,Análise!$B$1),COUNTIF(Base!$F:$F,Análise!$A34))</f>
        <v>0</v>
      </c>
      <c r="D34" s="19" t="s">
        <v>101</v>
      </c>
      <c r="E34" s="12">
        <f>IF($B$1&lt;&gt;"",COUNTIFS(Base!$C:$C,Análise!$B$1,Base!$P:$P,Análise!$D34),COUNTIF(Base!$P:$P,Análise!$D34))</f>
        <v>0</v>
      </c>
      <c r="L34" s="12" t="s">
        <v>58</v>
      </c>
      <c r="M34" s="12">
        <f>IF($B$1&lt;&gt;"",COUNTIFS(Base!$C:$C,Análise!$B$1,Base!$BL:$BL,Análise!$L34),COUNTIF(Base!$BL:$BL,Análise!$L34))</f>
        <v>0</v>
      </c>
      <c r="O34" s="12" t="s">
        <v>47</v>
      </c>
      <c r="P34" s="12">
        <f>IF($B$1&lt;&gt;"",COUNTIFS(Base!$C:$C,Análise!$B$1,Base!$AC:$AC,Análise!$O34),COUNTIF(Base!$AC:$AC,Análise!$O34))</f>
        <v>0</v>
      </c>
      <c r="R34" s="12" t="s">
        <v>26</v>
      </c>
      <c r="S34" s="12">
        <f>IF($B$1&lt;&gt;"",COUNTIFS(Base!$C:$C,Análise!$B$1,Base!$AJ:$AJ,Análise!$R34),COUNTIF(Base!$AJ:$AJ,Análise!$R34))</f>
        <v>0</v>
      </c>
      <c r="T34" s="12">
        <f>IF($B$1&lt;&gt;"",COUNTIFS(Base!$C:$C,Análise!$B$1,Base!$AK:$AK,Análise!$R34),COUNTIF(Base!$AK:$AK,Análise!$R34))</f>
        <v>0</v>
      </c>
    </row>
    <row r="35" spans="1:20" x14ac:dyDescent="0.3">
      <c r="A35" s="22" t="s">
        <v>10</v>
      </c>
      <c r="B35" s="12">
        <f>IF($B$1&lt;&gt;"",COUNTIFS(Base!$F:$F,Análise!$A35,Base!$C:$C,Análise!$B$1),COUNTIF(Base!$F:$F,Análise!$A35))</f>
        <v>0</v>
      </c>
      <c r="D35" s="19" t="s">
        <v>89</v>
      </c>
      <c r="E35" s="12">
        <f>IF($B$1&lt;&gt;"",COUNTIFS(Base!$C:$C,Análise!$B$1,Base!$P:$P,Análise!$D35),COUNTIF(Base!$P:$P,Análise!$D35))</f>
        <v>0</v>
      </c>
      <c r="H35" s="15" t="s">
        <v>263</v>
      </c>
      <c r="I35" s="15" t="s">
        <v>153</v>
      </c>
      <c r="L35" s="12" t="s">
        <v>98</v>
      </c>
      <c r="M35" s="12">
        <f>IF($B$1&lt;&gt;"",COUNTIFS(Base!$C:$C,Análise!$B$1,Base!$BL:$BL,Análise!$L35),COUNTIF(Base!$BL:$BL,Análise!$L35))</f>
        <v>0</v>
      </c>
      <c r="O35" s="12" t="s">
        <v>271</v>
      </c>
      <c r="P35" s="12">
        <f>IF($B$1&lt;&gt;"",COUNTIFS(Base!$C:$C,Análise!$B$1,Base!$AC:$AC,Análise!$O35),COUNTIF(Base!$AC:$AC,Análise!$O35))</f>
        <v>0</v>
      </c>
      <c r="R35" s="12" t="s">
        <v>27</v>
      </c>
      <c r="S35" s="12">
        <f>IF($B$1&lt;&gt;"",COUNTIFS(Base!$C:$C,Análise!$B$1,Base!$AJ:$AJ,Análise!$R35),COUNTIF(Base!$AJ:$AJ,Análise!$R35))</f>
        <v>0</v>
      </c>
      <c r="T35" s="12">
        <f>IF($B$1&lt;&gt;"",COUNTIFS(Base!$C:$C,Análise!$B$1,Base!$AK:$AK,Análise!$R35),COUNTIF(Base!$AK:$AK,Análise!$R35))</f>
        <v>0</v>
      </c>
    </row>
    <row r="36" spans="1:20" x14ac:dyDescent="0.3">
      <c r="A36" s="22" t="s">
        <v>253</v>
      </c>
      <c r="B36" s="12">
        <f>IF($B$1&lt;&gt;"",COUNTIFS(Base!$F:$F,Análise!$A36,Base!$C:$C,Análise!$B$1),COUNTIF(Base!$F:$F,Análise!$A36))</f>
        <v>0</v>
      </c>
      <c r="D36" s="19" t="s">
        <v>45</v>
      </c>
      <c r="E36" s="12">
        <f>IF($B$1&lt;&gt;"",COUNTIFS(Base!$C:$C,Análise!$B$1,Base!$P:$P,Análise!$D36),COUNTIF(Base!$P:$P,Análise!$D36))</f>
        <v>0</v>
      </c>
      <c r="H36" s="23" t="s">
        <v>16</v>
      </c>
      <c r="I36" s="12">
        <f>IF($B$1&lt;&gt;"",COUNTIFS(Base!$C:$C,Análise!$B$1,Base!$AP:$AP,Análise!$H36),COUNTIFS(Base!$AP:$AP,Análise!$H36))</f>
        <v>0</v>
      </c>
      <c r="L36" s="12" t="s">
        <v>39</v>
      </c>
      <c r="M36" s="12">
        <f>IF($B$1&lt;&gt;"",COUNTIFS(Base!$C:$C,Análise!$B$1,Base!$BL:$BL,Análise!$L36),COUNTIF(Base!$BL:$BL,Análise!$L36))</f>
        <v>0</v>
      </c>
      <c r="O36" s="12" t="s">
        <v>272</v>
      </c>
      <c r="P36" s="12">
        <f>IF($B$1&lt;&gt;"",COUNTIFS(Base!$C:$C,Análise!$B$1,Base!$AC:$AC,Análise!$O36),COUNTIF(Base!$AC:$AC,Análise!$O36))</f>
        <v>0</v>
      </c>
      <c r="R36" s="12" t="s">
        <v>52</v>
      </c>
      <c r="S36" s="12">
        <f>IF($B$1&lt;&gt;"",COUNTIFS(Base!$C:$C,Análise!$B$1,Base!$AJ:$AJ,Análise!$R36),COUNTIF(Base!$AJ:$AJ,Análise!$R36))</f>
        <v>0</v>
      </c>
      <c r="T36" s="12">
        <f>IF($B$1&lt;&gt;"",COUNTIFS(Base!$C:$C,Análise!$B$1,Base!$AK:$AK,Análise!$R36),COUNTIF(Base!$AK:$AK,Análise!$R36))</f>
        <v>0</v>
      </c>
    </row>
    <row r="37" spans="1:20" x14ac:dyDescent="0.3">
      <c r="D37" s="19" t="s">
        <v>259</v>
      </c>
      <c r="E37" s="12">
        <f>IF($B$1&lt;&gt;"",COUNTIFS(Base!$C:$C,Análise!$B$1,Base!$P:$P,Análise!$D37),COUNTIF(Base!$P:$P,Análise!$D37))</f>
        <v>0</v>
      </c>
      <c r="H37" s="23" t="s">
        <v>32</v>
      </c>
      <c r="I37" s="12">
        <f>IF($B$1&lt;&gt;"",COUNTIFS(Base!$C:$C,Análise!$B$1,Base!$AP:$AP,Análise!$H37),COUNTIFS(Base!$AP:$AP,Análise!$H37))</f>
        <v>0</v>
      </c>
      <c r="L37" s="12" t="s">
        <v>275</v>
      </c>
      <c r="M37" s="12">
        <f>IF($B$1&lt;&gt;"",COUNTIFS(Base!$C:$C,Análise!$B$1,Base!$BL:$BL,Análise!$L37),COUNTIF(Base!$BL:$BL,Análise!$L37))</f>
        <v>0</v>
      </c>
      <c r="O37" s="12" t="s">
        <v>273</v>
      </c>
      <c r="P37" s="12">
        <f>IF($B$1&lt;&gt;"",COUNTIFS(Base!$C:$C,Análise!$B$1,Base!$AC:$AC,Análise!$O37),COUNTIF(Base!$AC:$AC,Análise!$O37))</f>
        <v>0</v>
      </c>
      <c r="R37" s="12" t="s">
        <v>71</v>
      </c>
      <c r="S37" s="12">
        <f>IF($B$1&lt;&gt;"",COUNTIFS(Base!$C:$C,Análise!$B$1,Base!$AJ:$AJ,Análise!$R37),COUNTIF(Base!$AJ:$AJ,Análise!$R37))</f>
        <v>0</v>
      </c>
      <c r="T37" s="12">
        <f>IF($B$1&lt;&gt;"",COUNTIFS(Base!$C:$C,Análise!$B$1,Base!$AK:$AK,Análise!$R37),COUNTIF(Base!$AK:$AK,Análise!$R37))</f>
        <v>0</v>
      </c>
    </row>
    <row r="38" spans="1:20" x14ac:dyDescent="0.3">
      <c r="D38" s="19" t="s">
        <v>260</v>
      </c>
      <c r="E38" s="12">
        <f>IF($B$1&lt;&gt;"",COUNTIFS(Base!$C:$C,Análise!$B$1,Base!$P:$P,Análise!$D38),COUNTIF(Base!$P:$P,Análise!$D38))</f>
        <v>0</v>
      </c>
      <c r="H38" s="23" t="s">
        <v>31</v>
      </c>
      <c r="I38" s="12">
        <f>IF($B$1&lt;&gt;"",COUNTIFS(Base!$C:$C,Análise!$B$1,Base!$AP:$AP,Análise!$H38),COUNTIFS(Base!$AP:$AP,Análise!$H38))</f>
        <v>0</v>
      </c>
      <c r="L38" s="12" t="s">
        <v>92</v>
      </c>
      <c r="M38" s="12">
        <f>IF($B$1&lt;&gt;"",COUNTIFS(Base!$C:$C,Análise!$B$1,Base!$BL:$BL,Análise!$L38),COUNTIF(Base!$BL:$BL,Análise!$L38))</f>
        <v>0</v>
      </c>
      <c r="O38" s="12" t="s">
        <v>20</v>
      </c>
      <c r="P38" s="12">
        <f>IF($B$1&lt;&gt;"",COUNTIFS(Base!$C:$C,Análise!$B$1,Base!$AC:$AC,Análise!$O38),COUNTIF(Base!$AC:$AC,Análise!$O38))</f>
        <v>0</v>
      </c>
      <c r="R38" s="12" t="s">
        <v>195</v>
      </c>
      <c r="S38" s="12">
        <f>IF($B$1&lt;&gt;"",COUNTIFS(Base!$C:$C,Análise!$B$1,Base!$AJ:$AJ,Análise!$R38),COUNTIF(Base!$AJ:$AJ,Análise!$R38))</f>
        <v>0</v>
      </c>
      <c r="T38" s="12">
        <f>IF($B$1&lt;&gt;"",COUNTIFS(Base!$C:$C,Análise!$B$1,Base!$AK:$AK,Análise!$R38),COUNTIF(Base!$AK:$AK,Análise!$R38))</f>
        <v>0</v>
      </c>
    </row>
    <row r="39" spans="1:20" x14ac:dyDescent="0.3">
      <c r="H39" s="23" t="s">
        <v>53</v>
      </c>
      <c r="I39" s="12">
        <f>IF($B$1&lt;&gt;"",COUNTIFS(Base!$C:$C,Análise!$B$1,Base!$AP:$AP,Análise!$H39),COUNTIFS(Base!$AP:$AP,Análise!$H39))</f>
        <v>0</v>
      </c>
      <c r="O39" s="12" t="s">
        <v>68</v>
      </c>
      <c r="P39" s="12">
        <f>IF($B$1&lt;&gt;"",COUNTIFS(Base!$C:$C,Análise!$B$1,Base!$AC:$AC,Análise!$O39),COUNTIF(Base!$AC:$AC,Análise!$O39))</f>
        <v>0</v>
      </c>
      <c r="R39" s="12" t="s">
        <v>102</v>
      </c>
      <c r="S39" s="12">
        <f>IF($B$1&lt;&gt;"",COUNTIFS(Base!$C:$C,Análise!$B$1,Base!$AJ:$AJ,Análise!$R39),COUNTIF(Base!$AJ:$AJ,Análise!$R39))</f>
        <v>0</v>
      </c>
      <c r="T39" s="12">
        <f>IF($B$1&lt;&gt;"",COUNTIFS(Base!$C:$C,Análise!$B$1,Base!$AK:$AK,Análise!$R39),COUNTIF(Base!$AK:$AK,Análise!$R39))</f>
        <v>0</v>
      </c>
    </row>
    <row r="40" spans="1:20" x14ac:dyDescent="0.3">
      <c r="O40" s="12" t="s">
        <v>93</v>
      </c>
      <c r="P40" s="12">
        <f>IF($B$1&lt;&gt;"",COUNTIFS(Base!$C:$C,Análise!$B$1,Base!$AC:$AC,Análise!$O40),COUNTIF(Base!$AC:$AC,Análise!$O40))</f>
        <v>0</v>
      </c>
    </row>
    <row r="41" spans="1:20" x14ac:dyDescent="0.3">
      <c r="A41" s="15" t="s">
        <v>174</v>
      </c>
      <c r="B41" s="15">
        <v>0</v>
      </c>
      <c r="C41" s="15">
        <v>1</v>
      </c>
      <c r="D41" s="15">
        <v>2</v>
      </c>
      <c r="E41" s="15">
        <v>3</v>
      </c>
      <c r="F41" s="15">
        <v>4</v>
      </c>
      <c r="G41" s="15" t="s">
        <v>230</v>
      </c>
      <c r="I41" s="15" t="s">
        <v>159</v>
      </c>
      <c r="J41" s="15" t="s">
        <v>16</v>
      </c>
      <c r="K41" s="15" t="s">
        <v>32</v>
      </c>
      <c r="L41" s="15" t="s">
        <v>31</v>
      </c>
      <c r="M41" s="15" t="s">
        <v>53</v>
      </c>
      <c r="O41" s="12" t="s">
        <v>114</v>
      </c>
      <c r="P41" s="12">
        <f>IF($B$1&lt;&gt;"",COUNTIFS(Base!$C:$C,Análise!$B$1,Base!$AC:$AC,Análise!$O41),COUNTIF(Base!$AC:$AC,Análise!$O41))</f>
        <v>0</v>
      </c>
    </row>
    <row r="42" spans="1:20" x14ac:dyDescent="0.3">
      <c r="A42" s="19" t="s">
        <v>175</v>
      </c>
      <c r="B42" s="12">
        <f>IF(Análise!$B$1&lt;&gt;"",COUNTIFS(Base!$C:$C,Análise!$B$1,Base!$S:$S,Análise!B$41),COUNTIFS(Base!$S:$S,Análise!B$41))</f>
        <v>0</v>
      </c>
      <c r="C42" s="12">
        <f>IF(Análise!$B$1&lt;&gt;"",COUNTIFS(Base!$C:$C,Análise!$B$1,Base!$S:$S,Análise!C$41),COUNTIFS(Base!$S:$S,Análise!C$41))</f>
        <v>0</v>
      </c>
      <c r="D42" s="12">
        <f>IF(Análise!$B$1&lt;&gt;"",COUNTIFS(Base!$C:$C,Análise!$B$1,Base!$S:$S,Análise!D$41),COUNTIFS(Base!$S:$S,Análise!D$41))</f>
        <v>0</v>
      </c>
      <c r="E42" s="12">
        <f>IF(Análise!$B$1&lt;&gt;"",COUNTIFS(Base!$C:$C,Análise!$B$1,Base!$S:$S,Análise!E$41),COUNTIFS(Base!$S:$S,Análise!E$41))</f>
        <v>0</v>
      </c>
      <c r="F42" s="12">
        <f>IF(Análise!$B$1&lt;&gt;"",COUNTIFS(Base!$C:$C,Análise!$B$1,Base!$S:$S,Análise!F$41),COUNTIFS(Base!$S:$S,Análise!F$41))</f>
        <v>0</v>
      </c>
      <c r="G42" s="12">
        <f>IF(Análise!$B$1&lt;&gt;"",COUNTIFS(Base!$C:$C,Análise!$B$1,Base!$S:$S,"&gt;4"),COUNTIFS(Base!$S:$S,"&gt;4"))</f>
        <v>0</v>
      </c>
      <c r="I42" s="12" t="s">
        <v>158</v>
      </c>
      <c r="J42" s="12">
        <f>IF($B$1&lt;&gt;"",COUNTIFS(Base!$C:$C,Análise!$B$1,Base!$AQ:$AQ,Análise!J$41),COUNTIFS(Base!$AQ:$AQ,Análise!J$41))</f>
        <v>0</v>
      </c>
      <c r="K42" s="12">
        <f>IF($B$1&lt;&gt;"",COUNTIFS(Base!$C:$C,Análise!$B$1,Base!$AQ:$AQ,Análise!K$41),COUNTIFS(Base!$AQ:$AQ,Análise!K$41))</f>
        <v>0</v>
      </c>
      <c r="L42" s="12">
        <f>IF($B$1&lt;&gt;"",COUNTIFS(Base!$C:$C,Análise!$B$1,Base!$AQ:$AQ,Análise!L$41),COUNTIFS(Base!$AQ:$AQ,Análise!L$41))</f>
        <v>0</v>
      </c>
      <c r="M42" s="12">
        <f>IF($B$1&lt;&gt;"",COUNTIFS(Base!$C:$C,Análise!$B$1,Base!$AQ:$AQ,Análise!M$41),COUNTIFS(Base!$AQ:$AQ,Análise!M$41))</f>
        <v>0</v>
      </c>
      <c r="R42" s="15" t="s">
        <v>200</v>
      </c>
      <c r="S42" s="15" t="s">
        <v>153</v>
      </c>
    </row>
    <row r="43" spans="1:20" x14ac:dyDescent="0.3">
      <c r="A43" s="19" t="s">
        <v>176</v>
      </c>
      <c r="B43" s="12">
        <f>IF(Análise!$B$1&lt;&gt;"",COUNTIFS(Base!$C:$C,Análise!$B$1,Base!$T:$T,Análise!B$41),COUNTIFS(Base!$T:$T,Análise!B$41))</f>
        <v>0</v>
      </c>
      <c r="C43" s="12">
        <f>IF(Análise!$B$1&lt;&gt;"",COUNTIFS(Base!$C:$C,Análise!$B$1,Base!$T:$T,Análise!C$41),COUNTIFS(Base!$T:$T,Análise!C$41))</f>
        <v>0</v>
      </c>
      <c r="D43" s="12">
        <f>IF(Análise!$B$1&lt;&gt;"",COUNTIFS(Base!$C:$C,Análise!$B$1,Base!$T:$T,Análise!D$41),COUNTIFS(Base!$T:$T,Análise!D$41))</f>
        <v>0</v>
      </c>
      <c r="E43" s="12">
        <f>IF(Análise!$B$1&lt;&gt;"",COUNTIFS(Base!$C:$C,Análise!$B$1,Base!$T:$T,Análise!E$41),COUNTIFS(Base!$T:$T,Análise!E$41))</f>
        <v>0</v>
      </c>
      <c r="F43" s="12">
        <f>IF(Análise!$B$1&lt;&gt;"",COUNTIFS(Base!$C:$C,Análise!$B$1,Base!$T:$T,Análise!F$41),COUNTIFS(Base!$T:$T,Análise!F$41))</f>
        <v>0</v>
      </c>
      <c r="G43" s="12">
        <f>IF(Análise!$B$1&lt;&gt;"",COUNTIFS(Base!$C:$C,Análise!$B$1,Base!$T:$T,"&gt;4"),COUNTIFS(Base!$T:$T,"&gt;4"))</f>
        <v>0</v>
      </c>
      <c r="I43" s="12" t="s">
        <v>160</v>
      </c>
      <c r="J43" s="12">
        <f>IF($B$1&lt;&gt;"",COUNTIFS(Base!$C:$C,Análise!$B$1,Base!$AR:$AR,Análise!J$41),COUNTIFS(Base!$AR:$AR,Análise!J$41))</f>
        <v>0</v>
      </c>
      <c r="K43" s="12">
        <f>IF($B$1&lt;&gt;"",COUNTIFS(Base!$C:$C,Análise!$B$1,Base!$AR:$AR,Análise!K$41),COUNTIFS(Base!$AR:$AR,Análise!K$41))</f>
        <v>0</v>
      </c>
      <c r="L43" s="12">
        <f>IF($B$1&lt;&gt;"",COUNTIFS(Base!$C:$C,Análise!$B$1,Base!$AR:$AR,Análise!L$41),COUNTIFS(Base!$AR:$AR,Análise!L$41))</f>
        <v>0</v>
      </c>
      <c r="M43" s="12">
        <f>IF($B$1&lt;&gt;"",COUNTIFS(Base!$C:$C,Análise!$B$1,Base!$AR:$AR,Análise!M$41),COUNTIFS(Base!$AR:$AR,Análise!M$41))</f>
        <v>0</v>
      </c>
      <c r="R43" s="12" t="s">
        <v>28</v>
      </c>
      <c r="S43" s="12">
        <f>IF($B$1&lt;&gt;"",COUNTIFS(Base!$C:$C,Análise!$B$1,Base!$AL:$AL,Análise!$R43),COUNTIF(Base!$AL:$AL,Análise!$R43))</f>
        <v>0</v>
      </c>
    </row>
    <row r="44" spans="1:20" x14ac:dyDescent="0.3">
      <c r="A44" s="19" t="s">
        <v>177</v>
      </c>
      <c r="B44" s="20">
        <f>IF(Análise!$B$1&lt;&gt;"",COUNTIFS(Base!$C:$C,Análise!$B$1,Base!$U:$U,Análise!B$41),COUNTIFS(Base!$U:$U,Análise!B$41))</f>
        <v>0</v>
      </c>
      <c r="C44" s="20">
        <f>IF(Análise!$B$1&lt;&gt;"",COUNTIFS(Base!$C:$C,Análise!$B$1,Base!$U:$U,Análise!C$41),COUNTIFS(Base!$U:$U,Análise!C$41))</f>
        <v>0</v>
      </c>
      <c r="D44" s="20">
        <f>IF(Análise!$B$1&lt;&gt;"",COUNTIFS(Base!$C:$C,Análise!$B$1,Base!$U:$U,Análise!D$41),COUNTIFS(Base!$U:$U,Análise!D$41))</f>
        <v>0</v>
      </c>
      <c r="E44" s="20">
        <f>IF(Análise!$B$1&lt;&gt;"",COUNTIFS(Base!$C:$C,Análise!$B$1,Base!$U:$U,Análise!E$41),COUNTIFS(Base!$U:$U,Análise!E$41))</f>
        <v>0</v>
      </c>
      <c r="F44" s="20">
        <f>IF(Análise!$B$1&lt;&gt;"",COUNTIFS(Base!$C:$C,Análise!$B$1,Base!$U:$U,Análise!F$41),COUNTIFS(Base!$U:$U,Análise!F$41))</f>
        <v>0</v>
      </c>
      <c r="G44" s="20">
        <f>IF(Análise!$B$1&lt;&gt;"",COUNTIFS(Base!$C:$C,Análise!$B$1,Base!$U:$U,"&gt;4"),COUNTIFS(Base!$U:$U,"&gt;4"))</f>
        <v>0</v>
      </c>
      <c r="I44" s="12" t="s">
        <v>264</v>
      </c>
      <c r="J44" s="16">
        <f>IF($B$1&lt;&gt;"",COUNTIFS(Base!$C:$C,Análise!$B$1,Base!$AS:$AS,Análise!J$41),COUNTIFS(Base!$AS:$AS,Análise!J$41))</f>
        <v>0</v>
      </c>
      <c r="K44" s="16">
        <f>IF($B$1&lt;&gt;"",COUNTIFS(Base!$C:$C,Análise!$B$1,Base!$AS:$AS,Análise!K$41),COUNTIFS(Base!$AS:$AS,Análise!K$41))</f>
        <v>0</v>
      </c>
      <c r="L44" s="16">
        <f>IF($B$1&lt;&gt;"",COUNTIFS(Base!$C:$C,Análise!$B$1,Base!$AS:$AS,Análise!L$41),COUNTIFS(Base!$AS:$AS,Análise!L$41))</f>
        <v>0</v>
      </c>
      <c r="M44" s="16">
        <f>IF($B$1&lt;&gt;"",COUNTIFS(Base!$C:$C,Análise!$B$1,Base!$AS:$AS,Análise!M$41),COUNTIFS(Base!$AS:$AS,Análise!M$41))</f>
        <v>0</v>
      </c>
      <c r="R44" s="12" t="s">
        <v>103</v>
      </c>
      <c r="S44" s="12">
        <f>IF($B$1&lt;&gt;"",COUNTIFS(Base!$C:$C,Análise!$B$1,Base!$AL:$AL,Análise!$R44),COUNTIF(Base!$AL:$AL,Análise!$R44))</f>
        <v>0</v>
      </c>
    </row>
    <row r="45" spans="1:20" x14ac:dyDescent="0.3">
      <c r="A45" s="19" t="s">
        <v>178</v>
      </c>
      <c r="B45" s="20">
        <f>IF(Análise!$B$1&lt;&gt;"",COUNTIFS(Base!$C:$C,Análise!$B$1,Base!$V:$V,Análise!B$41),COUNTIFS(Base!$V:$V,Análise!B$41))</f>
        <v>0</v>
      </c>
      <c r="C45" s="20">
        <f>IF(Análise!$B$1&lt;&gt;"",COUNTIFS(Base!$C:$C,Análise!$B$1,Base!$V:$V,Análise!C$41),COUNTIFS(Base!$V:$V,Análise!C$41))</f>
        <v>0</v>
      </c>
      <c r="D45" s="20">
        <f>IF(Análise!$B$1&lt;&gt;"",COUNTIFS(Base!$C:$C,Análise!$B$1,Base!$V:$V,Análise!D$41),COUNTIFS(Base!$V:$V,Análise!D$41))</f>
        <v>0</v>
      </c>
      <c r="E45" s="20">
        <f>IF(Análise!$B$1&lt;&gt;"",COUNTIFS(Base!$C:$C,Análise!$B$1,Base!$V:$V,Análise!E$41),COUNTIFS(Base!$V:$V,Análise!E$41))</f>
        <v>0</v>
      </c>
      <c r="F45" s="20">
        <f>IF(Análise!$B$1&lt;&gt;"",COUNTIFS(Base!$C:$C,Análise!$B$1,Base!$V:$V,Análise!F$41),COUNTIFS(Base!$V:$V,Análise!F$41))</f>
        <v>0</v>
      </c>
      <c r="G45" s="20">
        <f>IF(Análise!$B$1&lt;&gt;"",COUNTIFS(Base!$C:$C,Análise!$B$1,Base!$V:$V,"&gt;4"),COUNTIFS(Base!$V:$V,"&gt;4"))</f>
        <v>0</v>
      </c>
      <c r="I45" s="12" t="s">
        <v>161</v>
      </c>
      <c r="J45" s="12">
        <f>IF($B$1&lt;&gt;"",COUNTIFS(Base!$C:$C,Análise!$B$1,Base!$AT:$AT,Análise!J$41),COUNTIFS(Base!$AT:$AT,Análise!J$41))</f>
        <v>0</v>
      </c>
      <c r="K45" s="12">
        <f>IF($B$1&lt;&gt;"",COUNTIFS(Base!$C:$C,Análise!$B$1,Base!$AT:$AT,Análise!K$41),COUNTIFS(Base!$AT:$AT,Análise!K$41))</f>
        <v>0</v>
      </c>
      <c r="L45" s="12">
        <f>IF($B$1&lt;&gt;"",COUNTIFS(Base!$C:$C,Análise!$B$1,Base!$AT:$AT,Análise!L$41),COUNTIFS(Base!$AT:$AT,Análise!L$41))</f>
        <v>0</v>
      </c>
      <c r="M45" s="12">
        <f>IF($B$1&lt;&gt;"",COUNTIFS(Base!$C:$C,Análise!$B$1,Base!$AT:$AT,Análise!M$41),COUNTIFS(Base!$AT:$AT,Análise!M$41))</f>
        <v>0</v>
      </c>
      <c r="N45" s="6"/>
      <c r="O45" s="6"/>
      <c r="P45" s="6"/>
      <c r="Q45" s="6"/>
      <c r="R45" s="12" t="s">
        <v>116</v>
      </c>
      <c r="S45" s="12">
        <f>IF($B$1&lt;&gt;"",COUNTIFS(Base!$C:$C,Análise!$B$1,Base!$AL:$AL,Análise!$R45),COUNTIF(Base!$AL:$AL,Análise!$R45))</f>
        <v>0</v>
      </c>
    </row>
    <row r="46" spans="1:20" x14ac:dyDescent="0.3">
      <c r="A46" s="19" t="s">
        <v>228</v>
      </c>
      <c r="B46" s="20">
        <f>IF(Análise!$B$1&lt;&gt;"",COUNTIFS(Base!$C:$C,Análise!$B$1,Base!$W:$W,Análise!B$41),COUNTIFS(Base!$W:$W,Análise!B$41))</f>
        <v>0</v>
      </c>
      <c r="C46" s="20">
        <f>IF(Análise!$B$1&lt;&gt;"",COUNTIFS(Base!$C:$C,Análise!$B$1,Base!$W:$W,Análise!C$41),COUNTIFS(Base!$W:$W,Análise!C$41))</f>
        <v>0</v>
      </c>
      <c r="D46" s="20">
        <f>IF(Análise!$B$1&lt;&gt;"",COUNTIFS(Base!$C:$C,Análise!$B$1,Base!$W:$W,Análise!D$41),COUNTIFS(Base!$W:$W,Análise!D$41))</f>
        <v>0</v>
      </c>
      <c r="E46" s="20">
        <f>IF(Análise!$B$1&lt;&gt;"",COUNTIFS(Base!$C:$C,Análise!$B$1,Base!$W:$W,Análise!E$41),COUNTIFS(Base!$W:$W,Análise!E$41))</f>
        <v>0</v>
      </c>
      <c r="F46" s="20">
        <f>IF(Análise!$B$1&lt;&gt;"",COUNTIFS(Base!$C:$C,Análise!$B$1,Base!$W:$W,Análise!F$41),COUNTIFS(Base!$W:$W,Análise!F$41))</f>
        <v>0</v>
      </c>
      <c r="G46" s="20">
        <f>IF(Análise!$B$1&lt;&gt;"",COUNTIFS(Base!$C:$C,Análise!$B$1,Base!$W:$W,"&gt;4"),COUNTIFS(Base!$W:$W,"&gt;4"))</f>
        <v>0</v>
      </c>
      <c r="H46" s="6"/>
      <c r="I46" s="12" t="s">
        <v>162</v>
      </c>
      <c r="J46" s="12">
        <f>IF($B$1&lt;&gt;"",COUNTIFS(Base!$C:$C,Análise!$B$1,Base!$AU:$AU,Análise!J$41),COUNTIFS(Base!$AU:$AU,Análise!J$41))</f>
        <v>0</v>
      </c>
      <c r="K46" s="12">
        <f>IF($B$1&lt;&gt;"",COUNTIFS(Base!$C:$C,Análise!$B$1,Base!$AU:$AU,Análise!K$41),COUNTIFS(Base!$AU:$AU,Análise!K$41))</f>
        <v>0</v>
      </c>
      <c r="L46" s="12">
        <f>IF($B$1&lt;&gt;"",COUNTIFS(Base!$C:$C,Análise!$B$1,Base!$AU:$AU,Análise!L$41),COUNTIFS(Base!$AU:$AU,Análise!L$41))</f>
        <v>0</v>
      </c>
      <c r="M46" s="12">
        <f>IF($B$1&lt;&gt;"",COUNTIFS(Base!$C:$C,Análise!$B$1,Base!$AU:$AU,Análise!M$41),COUNTIFS(Base!$AU:$AU,Análise!M$41))</f>
        <v>0</v>
      </c>
      <c r="N46" s="6"/>
      <c r="O46" s="6"/>
      <c r="P46" s="6"/>
      <c r="Q46" s="6"/>
      <c r="R46" s="12" t="s">
        <v>201</v>
      </c>
      <c r="S46" s="12">
        <f>IF($B$1&lt;&gt;"",COUNTIFS(Base!$C:$C,Análise!$B$1,Base!$AL:$AL,Análise!$R46),COUNTIF(Base!$AL:$AL,Análise!$R46))</f>
        <v>0</v>
      </c>
    </row>
    <row r="47" spans="1:20" x14ac:dyDescent="0.3">
      <c r="A47" s="19" t="s">
        <v>179</v>
      </c>
      <c r="B47" s="20">
        <f>IF(Análise!$B$1&lt;&gt;"",COUNTIFS(Base!$C:$C,Análise!$B$1,Base!$X:$X,Análise!B$41),COUNTIFS(Base!$X:$X,Análise!B$41))</f>
        <v>0</v>
      </c>
      <c r="C47" s="20">
        <f>IF(Análise!$B$1&lt;&gt;"",COUNTIFS(Base!$C:$C,Análise!$B$1,Base!$X:$X,Análise!C$41),COUNTIFS(Base!$X:$X,Análise!C$41))</f>
        <v>0</v>
      </c>
      <c r="D47" s="20">
        <f>IF(Análise!$B$1&lt;&gt;"",COUNTIFS(Base!$C:$C,Análise!$B$1,Base!$X:$X,Análise!D$41),COUNTIFS(Base!$X:$X,Análise!D$41))</f>
        <v>0</v>
      </c>
      <c r="E47" s="20">
        <f>IF(Análise!$B$1&lt;&gt;"",COUNTIFS(Base!$C:$C,Análise!$B$1,Base!$X:$X,Análise!E$41),COUNTIFS(Base!$X:$X,Análise!E$41))</f>
        <v>0</v>
      </c>
      <c r="F47" s="20">
        <f>IF(Análise!$B$1&lt;&gt;"",COUNTIFS(Base!$C:$C,Análise!$B$1,Base!$X:$X,Análise!F$41),COUNTIFS(Base!$X:$X,Análise!F$41))</f>
        <v>0</v>
      </c>
      <c r="G47" s="20">
        <f>IF(Análise!$B$1&lt;&gt;"",COUNTIFS(Base!$C:$C,Análise!$B$1,Base!$X:$X,"&gt;4"),COUNTIFS(Base!$X:$X,"&gt;4"))</f>
        <v>0</v>
      </c>
      <c r="H47" s="6"/>
      <c r="I47" s="12" t="s">
        <v>163</v>
      </c>
      <c r="J47" s="12">
        <f>IF($B$1&lt;&gt;"",COUNTIFS(Base!$C:$C,Análise!$B$1,Base!$AV:$AV,Análise!J$41),COUNTIFS(Base!$AV:$AV,Análise!J$41))</f>
        <v>0</v>
      </c>
      <c r="K47" s="12">
        <f>IF($B$1&lt;&gt;"",COUNTIFS(Base!$C:$C,Análise!$B$1,Base!$AV:$AV,Análise!K$41),COUNTIFS(Base!$AV:$AV,Análise!K$41))</f>
        <v>0</v>
      </c>
      <c r="L47" s="12">
        <f>IF($B$1&lt;&gt;"",COUNTIFS(Base!$C:$C,Análise!$B$1,Base!$AV:$AV,Análise!L$41),COUNTIFS(Base!$AV:$AV,Análise!L$41))</f>
        <v>0</v>
      </c>
      <c r="M47" s="12">
        <f>IF($B$1&lt;&gt;"",COUNTIFS(Base!$C:$C,Análise!$B$1,Base!$AV:$AV,Análise!M$41),COUNTIFS(Base!$AV:$AV,Análise!M$41))</f>
        <v>0</v>
      </c>
      <c r="R47" s="12" t="s">
        <v>72</v>
      </c>
      <c r="S47" s="12">
        <f>IF($B$1&lt;&gt;"",COUNTIFS(Base!$C:$C,Análise!$B$1,Base!$AL:$AL,Análise!$R47),COUNTIF(Base!$AL:$AL,Análise!$R47))</f>
        <v>0</v>
      </c>
    </row>
    <row r="48" spans="1:20" x14ac:dyDescent="0.3">
      <c r="A48" s="19" t="s">
        <v>180</v>
      </c>
      <c r="B48" s="20">
        <f>IF(Análise!$B$1&lt;&gt;"",COUNTIFS(Base!$C:$C,Análise!$B$1,Base!$Y:$Y,Análise!B$41),COUNTIFS(Base!$Y:$Y,Análise!B$41))</f>
        <v>0</v>
      </c>
      <c r="C48" s="20">
        <f>IF(Análise!$B$1&lt;&gt;"",COUNTIFS(Base!$C:$C,Análise!$B$1,Base!$Y:$Y,Análise!C$41),COUNTIFS(Base!$Y:$Y,Análise!C$41))</f>
        <v>0</v>
      </c>
      <c r="D48" s="20">
        <f>IF(Análise!$B$1&lt;&gt;"",COUNTIFS(Base!$C:$C,Análise!$B$1,Base!$Y:$Y,Análise!D$41),COUNTIFS(Base!$Y:$Y,Análise!D$41))</f>
        <v>0</v>
      </c>
      <c r="E48" s="20">
        <f>IF(Análise!$B$1&lt;&gt;"",COUNTIFS(Base!$C:$C,Análise!$B$1,Base!$Y:$Y,Análise!E$41),COUNTIFS(Base!$Y:$Y,Análise!E$41))</f>
        <v>0</v>
      </c>
      <c r="F48" s="20">
        <f>IF(Análise!$B$1&lt;&gt;"",COUNTIFS(Base!$C:$C,Análise!$B$1,Base!$Y:$Y,Análise!F$41),COUNTIFS(Base!$Y:$Y,Análise!F$41))</f>
        <v>0</v>
      </c>
      <c r="G48" s="20">
        <f>IF(Análise!$B$1&lt;&gt;"",COUNTIFS(Base!$C:$C,Análise!$B$1,Base!$Y:$Y,"&gt;4"),COUNTIFS(Base!$Y:$Y,"&gt;4"))</f>
        <v>0</v>
      </c>
      <c r="R48" s="12" t="s">
        <v>199</v>
      </c>
      <c r="S48" s="12">
        <f>IF($B$1&lt;&gt;"",COUNTIFS(Base!$C:$C,Análise!$B$1,Base!$AL:$AL,Análise!$R48),COUNTIF(Base!$AL:$AL,Análise!$R48))</f>
        <v>0</v>
      </c>
    </row>
    <row r="49" spans="1:39" x14ac:dyDescent="0.3">
      <c r="A49" s="19" t="s">
        <v>229</v>
      </c>
      <c r="B49" s="20">
        <f>IF(Análise!$B$1&lt;&gt;"",COUNTIFS(Base!$C:$C,Análise!$B$1,Base!$Z:$Z,Análise!B$41),COUNTIFS(Base!$Z:$Z,Análise!B$41))</f>
        <v>0</v>
      </c>
      <c r="C49" s="20">
        <f>IF(Análise!$B$1&lt;&gt;"",COUNTIFS(Base!$C:$C,Análise!$B$1,Base!$Z:$Z,Análise!C$41),COUNTIFS(Base!$Z:$Z,Análise!C$41))</f>
        <v>0</v>
      </c>
      <c r="D49" s="20">
        <f>IF(Análise!$B$1&lt;&gt;"",COUNTIFS(Base!$C:$C,Análise!$B$1,Base!$Z:$Z,Análise!D$41),COUNTIFS(Base!$Z:$Z,Análise!D$41))</f>
        <v>0</v>
      </c>
      <c r="E49" s="20">
        <f>IF(Análise!$B$1&lt;&gt;"",COUNTIFS(Base!$C:$C,Análise!$B$1,Base!$Z:$Z,Análise!E$41),COUNTIFS(Base!$Z:$Z,Análise!E$41))</f>
        <v>0</v>
      </c>
      <c r="F49" s="20">
        <f>IF(Análise!$B$1&lt;&gt;"",COUNTIFS(Base!$C:$C,Análise!$B$1,Base!$Z:$Z,Análise!F$41),COUNTIFS(Base!$Z:$Z,Análise!F$41))</f>
        <v>0</v>
      </c>
      <c r="G49" s="20">
        <f>IF(Análise!$B$1&lt;&gt;"",COUNTIFS(Base!$C:$C,Análise!$B$1,Base!$Z:$Z,"&gt;4"),COUNTIFS(Base!$Z:$Z,"&gt;4"))</f>
        <v>0</v>
      </c>
      <c r="I49" s="15" t="s">
        <v>164</v>
      </c>
      <c r="J49" s="15" t="s">
        <v>54</v>
      </c>
      <c r="K49" s="15" t="s">
        <v>33</v>
      </c>
      <c r="L49" s="15" t="s">
        <v>55</v>
      </c>
      <c r="M49" s="15" t="s">
        <v>77</v>
      </c>
      <c r="N49" s="13" t="s">
        <v>34</v>
      </c>
    </row>
    <row r="50" spans="1:39" x14ac:dyDescent="0.3">
      <c r="A50" s="19" t="s">
        <v>168</v>
      </c>
      <c r="B50" s="20">
        <f>IF(Análise!$B$1&lt;&gt;"",COUNTIFS(Base!$C:$C,Análise!$B$1,Base!$AA:$AA,Análise!B$41),COUNTIFS(Base!$AA:$AA,Análise!B$41))</f>
        <v>0</v>
      </c>
      <c r="C50" s="20">
        <f>IF(Análise!$B$1&lt;&gt;"",COUNTIFS(Base!$C:$C,Análise!$B$1,Base!$AA:$AA,Análise!C$41),COUNTIFS(Base!$AA:$AA,Análise!C$41))</f>
        <v>0</v>
      </c>
      <c r="D50" s="20">
        <f>IF(Análise!$B$1&lt;&gt;"",COUNTIFS(Base!$C:$C,Análise!$B$1,Base!$AA:$AA,Análise!D$41),COUNTIFS(Base!$AA:$AA,Análise!D$41))</f>
        <v>0</v>
      </c>
      <c r="E50" s="20">
        <f>IF(Análise!$B$1&lt;&gt;"",COUNTIFS(Base!$C:$C,Análise!$B$1,Base!$AA:$AA,Análise!E$41),COUNTIFS(Base!$AA:$AA,Análise!E$41))</f>
        <v>0</v>
      </c>
      <c r="F50" s="20">
        <f>IF(Análise!$B$1&lt;&gt;"",COUNTIFS(Base!$C:$C,Análise!$B$1,Base!$AA:$AA,Análise!F$41),COUNTIFS(Base!$AA:$AA,Análise!F$41))</f>
        <v>0</v>
      </c>
      <c r="G50" s="20">
        <f>IF(Análise!$B$1&lt;&gt;"",COUNTIFS(Base!$C:$C,Análise!$B$1,Base!$AA:$AA,"&gt;4"),COUNTIFS(Base!$AA:$AA,"&gt;4"))</f>
        <v>0</v>
      </c>
      <c r="I50" s="12" t="s">
        <v>165</v>
      </c>
      <c r="J50" s="12">
        <f>IF($B$1&lt;&gt;"",COUNTIFS(Base!$C:$C,Análise!$B$1,Base!$AW:$AW,Análise!J$49),COUNTIF(Base!$AW:$AW,Análise!J$49))</f>
        <v>0</v>
      </c>
      <c r="K50" s="12">
        <f>IF($B$1&lt;&gt;"",COUNTIFS(Base!$C:$C,Análise!$B$1,Base!$AW:$AW,Análise!K$49),COUNTIF(Base!$AW:$AW,Análise!K$49))</f>
        <v>0</v>
      </c>
      <c r="L50" s="12">
        <f>IF($B$1&lt;&gt;"",COUNTIFS(Base!$C:$C,Análise!$B$1,Base!$AW:$AW,Análise!L$49),COUNTIF(Base!$AW:$AW,Análise!L$49))</f>
        <v>0</v>
      </c>
      <c r="M50" s="12">
        <f>IF($B$1&lt;&gt;"",COUNTIFS(Base!$C:$C,Análise!$B$1,Base!$AW:$AW,Análise!M$49),COUNTIF(Base!$AW:$AW,Análise!M$49))</f>
        <v>0</v>
      </c>
      <c r="N50" s="12">
        <f>IF($B$1&lt;&gt;"",COUNTIFS(Base!$C:$C,Análise!$B$1,Base!$AW:$AW,Análise!N$49),COUNTIF(Base!$AW:$AW,Análise!N$49))</f>
        <v>0</v>
      </c>
      <c r="P50" s="15" t="s">
        <v>202</v>
      </c>
      <c r="Q50" s="15" t="s">
        <v>38</v>
      </c>
      <c r="R50" s="15" t="s">
        <v>21</v>
      </c>
    </row>
    <row r="51" spans="1:39" x14ac:dyDescent="0.3">
      <c r="A51" s="19" t="s">
        <v>181</v>
      </c>
      <c r="B51" s="20">
        <f>IF(Análise!$B$1&lt;&gt;"",COUNTIFS(Base!$C:$C,Análise!$B$1,Base!$AB:$AB,Análise!B$41),COUNTIFS(Base!$AB:$AB,Análise!B$41))</f>
        <v>0</v>
      </c>
      <c r="C51" s="20">
        <f>IF(Análise!$B$1&lt;&gt;"",COUNTIFS(Base!$C:$C,Análise!$B$1,Base!$AB:$AB,Análise!C$41),COUNTIFS(Base!$AB:$AB,Análise!C$41))</f>
        <v>0</v>
      </c>
      <c r="D51" s="20">
        <f>IF(Análise!$B$1&lt;&gt;"",COUNTIFS(Base!$C:$C,Análise!$B$1,Base!$AB:$AB,Análise!D$41),COUNTIFS(Base!$AB:$AB,Análise!D$41))</f>
        <v>0</v>
      </c>
      <c r="E51" s="20">
        <f>IF(Análise!$B$1&lt;&gt;"",COUNTIFS(Base!$C:$C,Análise!$B$1,Base!$AB:$AB,Análise!E$41),COUNTIFS(Base!$AB:$AB,Análise!E$41))</f>
        <v>0</v>
      </c>
      <c r="F51" s="20">
        <f>IF(Análise!$B$1&lt;&gt;"",COUNTIFS(Base!$C:$C,Análise!$B$1,Base!$AB:$AB,Análise!F$41),COUNTIFS(Base!$AB:$AB,Análise!F$41))</f>
        <v>0</v>
      </c>
      <c r="G51" s="20">
        <f>IF(Análise!$B$1&lt;&gt;"",COUNTIFS(Base!$C:$C,Análise!$B$1,Base!$AB:$AB,"&gt;4"),COUNTIFS(Base!$AB:$AB,"&gt;4"))</f>
        <v>0</v>
      </c>
      <c r="I51" s="12" t="s">
        <v>166</v>
      </c>
      <c r="J51" s="12">
        <f>IF($B$1&lt;&gt;"",COUNTIFS(Base!$C:$C,Análise!$B$1,Base!$AX:$AX,Análise!J$49),COUNTIF(Base!$AX:$AX,Análise!J$49))</f>
        <v>0</v>
      </c>
      <c r="K51" s="12">
        <f>IF($B$1&lt;&gt;"",COUNTIFS(Base!$C:$C,Análise!$B$1,Base!$AX:$AX,Análise!K$49),COUNTIF(Base!$AX:$AX,Análise!K$49))</f>
        <v>0</v>
      </c>
      <c r="L51" s="12">
        <f>IF($B$1&lt;&gt;"",COUNTIFS(Base!$C:$C,Análise!$B$1,Base!$AX:$AX,Análise!L$49),COUNTIF(Base!$AX:$AX,Análise!L$49))</f>
        <v>0</v>
      </c>
      <c r="M51" s="12">
        <f>IF($B$1&lt;&gt;"",COUNTIFS(Base!$C:$C,Análise!$B$1,Base!$AX:$AX,Análise!M$49),COUNTIF(Base!$AX:$AX,Análise!M$49))</f>
        <v>0</v>
      </c>
      <c r="N51" s="12">
        <f>IF($B$1&lt;&gt;"",COUNTIFS(Base!$C:$C,Análise!$B$1,Base!$AX:$AX,Análise!N$49),COUNTIF(Base!$AX:$AX,Análise!N$49))</f>
        <v>0</v>
      </c>
      <c r="O51" s="6"/>
      <c r="P51" s="16" t="s">
        <v>7</v>
      </c>
      <c r="Q51" s="16">
        <f>IF($B$1&lt;&gt;"",COUNTIFS(Base!$C:$C,Análise!$B$1,Base!$BR:$BR,Análise!Q$50),COUNTIF(Base!$BR:$BR,Análise!Q$50))</f>
        <v>0</v>
      </c>
      <c r="R51" s="16">
        <f>IF($B$1&lt;&gt;"",COUNTIFS(Base!$C:$C,Análise!$B$1,Base!$BR:$BR,Análise!R$50),COUNTIF(Base!$BR:$BR,Análise!R$50))</f>
        <v>0</v>
      </c>
      <c r="S51" s="6"/>
    </row>
    <row r="52" spans="1:39" x14ac:dyDescent="0.3">
      <c r="I52" s="12" t="s">
        <v>167</v>
      </c>
      <c r="J52" s="12">
        <f>IF($B$1&lt;&gt;"",COUNTIFS(Base!$C:$C,Análise!$B$1,Base!$AY:$AY,Análise!J$49),COUNTIF(Base!$AY:$AY,Análise!J$49))</f>
        <v>0</v>
      </c>
      <c r="K52" s="12">
        <f>IF($B$1&lt;&gt;"",COUNTIFS(Base!$C:$C,Análise!$B$1,Base!$AY:$AY,Análise!K$49),COUNTIF(Base!$AY:$AY,Análise!K$49))</f>
        <v>0</v>
      </c>
      <c r="L52" s="12">
        <f>IF($B$1&lt;&gt;"",COUNTIFS(Base!$C:$C,Análise!$B$1,Base!$AY:$AY,Análise!L$49),COUNTIF(Base!$AY:$AY,Análise!L$49))</f>
        <v>0</v>
      </c>
      <c r="M52" s="12">
        <f>IF($B$1&lt;&gt;"",COUNTIFS(Base!$C:$C,Análise!$B$1,Base!$AY:$AY,Análise!M$49),COUNTIF(Base!$AY:$AY,Análise!M$49))</f>
        <v>0</v>
      </c>
      <c r="N52" s="12">
        <f>IF($B$1&lt;&gt;"",COUNTIFS(Base!$C:$C,Análise!$B$1,Base!$AY:$AY,Análise!N$49),COUNTIF(Base!$AY:$AY,Análise!N$49))</f>
        <v>0</v>
      </c>
      <c r="O52" s="6"/>
      <c r="P52" s="6"/>
      <c r="Q52" s="6"/>
      <c r="R52" s="6"/>
      <c r="S52" s="6"/>
    </row>
    <row r="53" spans="1:39" x14ac:dyDescent="0.3">
      <c r="C53" s="15" t="s">
        <v>183</v>
      </c>
      <c r="D53" s="15" t="s">
        <v>17</v>
      </c>
      <c r="E53" s="15" t="s">
        <v>62</v>
      </c>
      <c r="F53" s="15" t="s">
        <v>118</v>
      </c>
      <c r="G53" s="15" t="s">
        <v>131</v>
      </c>
    </row>
    <row r="54" spans="1:39" x14ac:dyDescent="0.3">
      <c r="C54" s="12" t="s">
        <v>2</v>
      </c>
      <c r="D54" s="12">
        <f>IF($B$1&lt;&gt;"",COUNTIFS(Base!$C:$C,Análise!$B$1,Base!$N:$N,Análise!D$53),COUNTIF(Base!$N:$N,Análise!D$53))</f>
        <v>0</v>
      </c>
      <c r="E54" s="12">
        <f>IF($B$1&lt;&gt;"",COUNTIFS(Base!$C:$C,Análise!$B$1,Base!$N:$N,Análise!E$53),COUNTIF(Base!$N:$N,Análise!E$53))</f>
        <v>0</v>
      </c>
      <c r="F54" s="12">
        <f>IF($B$1&lt;&gt;"",COUNTIFS(Base!$C:$C,Análise!$B$1,Base!$N:$N,Análise!F$53),COUNTIF(Base!$N:$N,Análise!F$53))</f>
        <v>0</v>
      </c>
      <c r="G54" s="12">
        <f>IF($B$1&lt;&gt;"",COUNTIFS(Base!$C:$C,Análise!$B$1,Base!$N:$N,Análise!G$53),COUNTIF(Base!$N:$N,Análise!G$53))</f>
        <v>0</v>
      </c>
    </row>
    <row r="56" spans="1:39" x14ac:dyDescent="0.3">
      <c r="C56" s="6"/>
      <c r="D56" s="6"/>
      <c r="E56" s="6"/>
      <c r="F56" s="6"/>
      <c r="G56" s="6"/>
    </row>
    <row r="57" spans="1:39" x14ac:dyDescent="0.3">
      <c r="C57" s="6"/>
      <c r="D57" s="6"/>
      <c r="E57" s="6"/>
      <c r="F57" s="6"/>
      <c r="G57" s="6"/>
    </row>
    <row r="59" spans="1:39" x14ac:dyDescent="0.3">
      <c r="A59" s="15"/>
      <c r="B59" s="15">
        <v>1</v>
      </c>
      <c r="C59" s="15">
        <v>2</v>
      </c>
      <c r="D59" s="15">
        <v>3</v>
      </c>
      <c r="E59" s="15">
        <v>4</v>
      </c>
      <c r="F59" s="15">
        <v>5</v>
      </c>
      <c r="G59" s="15">
        <v>6</v>
      </c>
      <c r="H59" s="15">
        <v>7</v>
      </c>
      <c r="I59" s="15">
        <v>8</v>
      </c>
      <c r="J59" s="15">
        <v>9</v>
      </c>
      <c r="K59" s="15">
        <v>10</v>
      </c>
      <c r="L59" s="15">
        <v>11</v>
      </c>
      <c r="M59" s="15">
        <v>12</v>
      </c>
      <c r="N59" s="15">
        <v>13</v>
      </c>
      <c r="O59" s="15">
        <v>14</v>
      </c>
      <c r="P59" s="15">
        <v>15</v>
      </c>
      <c r="Q59" s="15">
        <v>16</v>
      </c>
      <c r="R59" s="15">
        <v>17</v>
      </c>
      <c r="S59" s="15">
        <v>18</v>
      </c>
      <c r="T59" s="15">
        <v>19</v>
      </c>
      <c r="U59" s="15">
        <v>20</v>
      </c>
      <c r="V59" s="15">
        <v>21</v>
      </c>
      <c r="W59" s="15">
        <v>22</v>
      </c>
      <c r="X59" s="15">
        <v>23</v>
      </c>
      <c r="Y59" s="15">
        <v>24</v>
      </c>
      <c r="Z59" s="15">
        <v>25</v>
      </c>
      <c r="AA59" s="15">
        <v>26</v>
      </c>
      <c r="AB59" s="15">
        <v>27</v>
      </c>
      <c r="AC59" s="15">
        <v>28</v>
      </c>
      <c r="AD59" s="15">
        <v>29</v>
      </c>
      <c r="AE59" s="15">
        <v>30</v>
      </c>
      <c r="AF59" s="15">
        <v>31</v>
      </c>
      <c r="AG59" s="15">
        <v>32</v>
      </c>
      <c r="AH59" s="15">
        <v>33</v>
      </c>
      <c r="AI59" s="15">
        <v>34</v>
      </c>
      <c r="AJ59" s="15">
        <v>35</v>
      </c>
      <c r="AK59" s="15">
        <v>36</v>
      </c>
      <c r="AL59" s="15">
        <v>37</v>
      </c>
      <c r="AM59" s="15">
        <v>38</v>
      </c>
    </row>
    <row r="60" spans="1:39" x14ac:dyDescent="0.3">
      <c r="A60" s="12" t="s">
        <v>4</v>
      </c>
      <c r="B60" s="12">
        <f>IF($B$1&lt;&gt;"",COUNTIFS(Base!$C:$C,Análise!$B$1,Base!$Q:$Q,Análise!B$59),COUNTIF(Base!$Q:$Q,Análise!B$59))</f>
        <v>0</v>
      </c>
      <c r="C60" s="12">
        <f>IF($B$1&lt;&gt;"",COUNTIFS(Base!$C:$C,Análise!$B$1,Base!$Q:$Q,Análise!C$59),COUNTIF(Base!$Q:$Q,Análise!C$59))</f>
        <v>0</v>
      </c>
      <c r="D60" s="12">
        <f>IF($B$1&lt;&gt;"",COUNTIFS(Base!$C:$C,Análise!$B$1,Base!$Q:$Q,Análise!D$59),COUNTIF(Base!$Q:$Q,Análise!D$59))</f>
        <v>0</v>
      </c>
      <c r="E60" s="12">
        <f>IF($B$1&lt;&gt;"",COUNTIFS(Base!$C:$C,Análise!$B$1,Base!$Q:$Q,Análise!E$59),COUNTIF(Base!$Q:$Q,Análise!E$59))</f>
        <v>0</v>
      </c>
      <c r="F60" s="12">
        <f>IF($B$1&lt;&gt;"",COUNTIFS(Base!$C:$C,Análise!$B$1,Base!$Q:$Q,Análise!F$59),COUNTIF(Base!$Q:$Q,Análise!F$59))</f>
        <v>0</v>
      </c>
      <c r="G60" s="12">
        <f>IF($B$1&lt;&gt;"",COUNTIFS(Base!$C:$C,Análise!$B$1,Base!$Q:$Q,Análise!G$59),COUNTIF(Base!$Q:$Q,Análise!G$59))</f>
        <v>0</v>
      </c>
      <c r="H60" s="12">
        <f>IF($B$1&lt;&gt;"",COUNTIFS(Base!$C:$C,Análise!$B$1,Base!$Q:$Q,Análise!H$59),COUNTIF(Base!$Q:$Q,Análise!H$59))</f>
        <v>0</v>
      </c>
      <c r="I60" s="12">
        <f>IF($B$1&lt;&gt;"",COUNTIFS(Base!$C:$C,Análise!$B$1,Base!$Q:$Q,Análise!I$59),COUNTIF(Base!$Q:$Q,Análise!I$59))</f>
        <v>0</v>
      </c>
      <c r="J60" s="12">
        <f>IF($B$1&lt;&gt;"",COUNTIFS(Base!$C:$C,Análise!$B$1,Base!$Q:$Q,Análise!J$59),COUNTIF(Base!$Q:$Q,Análise!J$59))</f>
        <v>0</v>
      </c>
      <c r="K60" s="12">
        <f>IF($B$1&lt;&gt;"",COUNTIFS(Base!$C:$C,Análise!$B$1,Base!$Q:$Q,Análise!K$59),COUNTIF(Base!$Q:$Q,Análise!K$59))</f>
        <v>0</v>
      </c>
      <c r="L60" s="12">
        <f>IF($B$1&lt;&gt;"",COUNTIFS(Base!$C:$C,Análise!$B$1,Base!$Q:$Q,Análise!L$59),COUNTIF(Base!$Q:$Q,Análise!L$59))</f>
        <v>0</v>
      </c>
      <c r="M60" s="12">
        <f>IF($B$1&lt;&gt;"",COUNTIFS(Base!$C:$C,Análise!$B$1,Base!$Q:$Q,Análise!M$59),COUNTIF(Base!$Q:$Q,Análise!M$59))</f>
        <v>0</v>
      </c>
      <c r="N60" s="12">
        <f>IF($B$1&lt;&gt;"",COUNTIFS(Base!$C:$C,Análise!$B$1,Base!$Q:$Q,Análise!N$59),COUNTIF(Base!$Q:$Q,Análise!N$59))</f>
        <v>0</v>
      </c>
      <c r="O60" s="12">
        <f>IF($B$1&lt;&gt;"",COUNTIFS(Base!$C:$C,Análise!$B$1,Base!$Q:$Q,Análise!O$59),COUNTIF(Base!$Q:$Q,Análise!O$59))</f>
        <v>0</v>
      </c>
      <c r="P60" s="12">
        <f>IF($B$1&lt;&gt;"",COUNTIFS(Base!$C:$C,Análise!$B$1,Base!$Q:$Q,Análise!P$59),COUNTIF(Base!$Q:$Q,Análise!P$59))</f>
        <v>0</v>
      </c>
      <c r="Q60" s="12">
        <f>IF($B$1&lt;&gt;"",COUNTIFS(Base!$C:$C,Análise!$B$1,Base!$Q:$Q,Análise!Q$59),COUNTIF(Base!$Q:$Q,Análise!Q$59))</f>
        <v>0</v>
      </c>
      <c r="R60" s="12">
        <f>IF($B$1&lt;&gt;"",COUNTIFS(Base!$C:$C,Análise!$B$1,Base!$Q:$Q,Análise!R$59),COUNTIF(Base!$Q:$Q,Análise!R$59))</f>
        <v>0</v>
      </c>
      <c r="S60" s="12">
        <f>IF($B$1&lt;&gt;"",COUNTIFS(Base!$C:$C,Análise!$B$1,Base!$Q:$Q,Análise!S$59),COUNTIF(Base!$Q:$Q,Análise!S$59))</f>
        <v>0</v>
      </c>
      <c r="T60" s="12">
        <f>IF($B$1&lt;&gt;"",COUNTIFS(Base!$C:$C,Análise!$B$1,Base!$Q:$Q,Análise!T$59),COUNTIF(Base!$Q:$Q,Análise!T$59))</f>
        <v>0</v>
      </c>
      <c r="U60" s="12">
        <f>IF($B$1&lt;&gt;"",COUNTIFS(Base!$C:$C,Análise!$B$1,Base!$Q:$Q,Análise!U$59),COUNTIF(Base!$Q:$Q,Análise!U$59))</f>
        <v>0</v>
      </c>
      <c r="V60" s="12">
        <f>IF($B$1&lt;&gt;"",COUNTIFS(Base!$C:$C,Análise!$B$1,Base!$Q:$Q,Análise!V$59),COUNTIF(Base!$Q:$Q,Análise!V$59))</f>
        <v>0</v>
      </c>
      <c r="W60" s="12">
        <f>IF($B$1&lt;&gt;"",COUNTIFS(Base!$C:$C,Análise!$B$1,Base!$Q:$Q,Análise!W$59),COUNTIF(Base!$Q:$Q,Análise!W$59))</f>
        <v>0</v>
      </c>
      <c r="X60" s="12">
        <f>IF($B$1&lt;&gt;"",COUNTIFS(Base!$C:$C,Análise!$B$1,Base!$Q:$Q,Análise!X$59),COUNTIF(Base!$Q:$Q,Análise!X$59))</f>
        <v>0</v>
      </c>
      <c r="Y60" s="12">
        <f>IF($B$1&lt;&gt;"",COUNTIFS(Base!$C:$C,Análise!$B$1,Base!$Q:$Q,Análise!Y$59),COUNTIF(Base!$Q:$Q,Análise!Y$59))</f>
        <v>0</v>
      </c>
      <c r="Z60" s="12">
        <f>IF($B$1&lt;&gt;"",COUNTIFS(Base!$C:$C,Análise!$B$1,Base!$Q:$Q,Análise!Z$59),COUNTIF(Base!$Q:$Q,Análise!Z$59))</f>
        <v>0</v>
      </c>
      <c r="AA60" s="12">
        <f>IF($B$1&lt;&gt;"",COUNTIFS(Base!$C:$C,Análise!$B$1,Base!$Q:$Q,Análise!AA$59),COUNTIF(Base!$Q:$Q,Análise!AA$59))</f>
        <v>0</v>
      </c>
      <c r="AB60" s="12">
        <f>IF($B$1&lt;&gt;"",COUNTIFS(Base!$C:$C,Análise!$B$1,Base!$Q:$Q,Análise!AB$59),COUNTIF(Base!$Q:$Q,Análise!AB$59))</f>
        <v>0</v>
      </c>
      <c r="AC60" s="12">
        <f>IF($B$1&lt;&gt;"",COUNTIFS(Base!$C:$C,Análise!$B$1,Base!$Q:$Q,Análise!AC$59),COUNTIF(Base!$Q:$Q,Análise!AC$59))</f>
        <v>0</v>
      </c>
      <c r="AD60" s="12">
        <f>IF($B$1&lt;&gt;"",COUNTIFS(Base!$C:$C,Análise!$B$1,Base!$Q:$Q,Análise!AD$59),COUNTIF(Base!$Q:$Q,Análise!AD$59))</f>
        <v>0</v>
      </c>
      <c r="AE60" s="12">
        <f>IF($B$1&lt;&gt;"",COUNTIFS(Base!$C:$C,Análise!$B$1,Base!$Q:$Q,Análise!AE$59),COUNTIF(Base!$Q:$Q,Análise!AE$59))</f>
        <v>0</v>
      </c>
      <c r="AF60" s="12">
        <f>IF($B$1&lt;&gt;"",COUNTIFS(Base!$C:$C,Análise!$B$1,Base!$Q:$Q,Análise!AF$59),COUNTIF(Base!$Q:$Q,Análise!AF$59))</f>
        <v>0</v>
      </c>
      <c r="AG60" s="12">
        <f>IF($B$1&lt;&gt;"",COUNTIFS(Base!$C:$C,Análise!$B$1,Base!$Q:$Q,Análise!AG$59),COUNTIF(Base!$Q:$Q,Análise!AG$59))</f>
        <v>0</v>
      </c>
      <c r="AH60" s="12">
        <f>IF($B$1&lt;&gt;"",COUNTIFS(Base!$C:$C,Análise!$B$1,Base!$Q:$Q,Análise!AH$59),COUNTIF(Base!$Q:$Q,Análise!AH$59))</f>
        <v>0</v>
      </c>
      <c r="AI60" s="12">
        <f>IF($B$1&lt;&gt;"",COUNTIFS(Base!$C:$C,Análise!$B$1,Base!$Q:$Q,Análise!AI$59),COUNTIF(Base!$Q:$Q,Análise!AI$59))</f>
        <v>0</v>
      </c>
      <c r="AJ60" s="12">
        <f>IF($B$1&lt;&gt;"",COUNTIFS(Base!$C:$C,Análise!$B$1,Base!$Q:$Q,Análise!AJ$59),COUNTIF(Base!$Q:$Q,Análise!AJ$59))</f>
        <v>0</v>
      </c>
      <c r="AK60" s="12">
        <f>IF($B$1&lt;&gt;"",COUNTIFS(Base!$C:$C,Análise!$B$1,Base!$Q:$Q,Análise!AK$59),COUNTIF(Base!$Q:$Q,Análise!AK$59))</f>
        <v>0</v>
      </c>
      <c r="AL60" s="12">
        <f>IF($B$1&lt;&gt;"",COUNTIFS(Base!$C:$C,Análise!$B$1,Base!$Q:$Q,Análise!AL$59),COUNTIF(Base!$Q:$Q,Análise!AL$59))</f>
        <v>0</v>
      </c>
      <c r="AM60" s="12">
        <f>IF($B$1&lt;&gt;"",COUNTIFS(Base!$C:$C,Análise!$B$1,Base!$Q:$Q,Análise!AM$59),COUNTIF(Base!$Q:$Q,Análise!AM$59))</f>
        <v>0</v>
      </c>
    </row>
    <row r="62" spans="1:39" x14ac:dyDescent="0.3">
      <c r="A62" s="15" t="s">
        <v>203</v>
      </c>
      <c r="B62" s="15" t="s">
        <v>153</v>
      </c>
      <c r="D62" s="15" t="s">
        <v>204</v>
      </c>
      <c r="E62" s="15" t="s">
        <v>205</v>
      </c>
      <c r="H62" s="15" t="s">
        <v>209</v>
      </c>
      <c r="I62" s="15" t="s">
        <v>210</v>
      </c>
      <c r="K62" s="15" t="s">
        <v>215</v>
      </c>
      <c r="L62" s="15" t="s">
        <v>153</v>
      </c>
      <c r="N62" s="15" t="s">
        <v>216</v>
      </c>
      <c r="O62" s="15" t="s">
        <v>153</v>
      </c>
    </row>
    <row r="63" spans="1:39" x14ac:dyDescent="0.3">
      <c r="A63" s="16" t="s">
        <v>40</v>
      </c>
      <c r="B63" s="16">
        <f>IF(Análise!$B$1&lt;&gt;"",COUNTIFS(Base!$C:$C,Análise!$B$1,Base!$BS:$BS,Análise!A$63),COUNTIFS(Base!$BS:$BS,Análise!A$63))</f>
        <v>0</v>
      </c>
      <c r="D63" s="12" t="s">
        <v>21</v>
      </c>
      <c r="E63" s="12">
        <f>IF($B$1&lt;&gt;"",COUNTIFS(Base!$C:$C,Análise!$B$1,Base!$AD:$AD,Análise!$D63),COUNTIF(Base!$AD:$AD,Análise!$D63))</f>
        <v>0</v>
      </c>
      <c r="H63" s="12" t="s">
        <v>69</v>
      </c>
      <c r="I63" s="12">
        <f>IF($B$1&lt;&gt;"",COUNTIFS(Base!$C:$C,Análise!$B$1,Base!$AF:$AF,Análise!$H63),COUNTIFS(Base!$AF:$AF,Análise!$H63))</f>
        <v>0</v>
      </c>
      <c r="K63" s="12" t="s">
        <v>36</v>
      </c>
      <c r="L63" s="12">
        <f>IF($B$1&lt;&gt;"",COUNTIFS(Base!$C:$C,Análise!$B$1,Base!$AM:$AM,Análise!K$63),COUNTIF(Base!$AM:$AM,Análise!K$63))</f>
        <v>0</v>
      </c>
      <c r="N63" s="12" t="s">
        <v>73</v>
      </c>
      <c r="O63" s="12">
        <f>IF($B$1&lt;&gt;"",COUNTIFS(Base!$C:$C,Análise!$B$1,Base!$AN:$AN,Análise!N$63),COUNTIF(Base!$AN:$AN,Análise!N$63))</f>
        <v>0</v>
      </c>
    </row>
    <row r="64" spans="1:39" x14ac:dyDescent="0.3">
      <c r="A64" s="12" t="s">
        <v>59</v>
      </c>
      <c r="B64" s="16">
        <f>IF(Análise!$B$1&lt;&gt;"",COUNTIFS(Base!$C:$C,Análise!$B$1,Base!$BS:$BS,Análise!A$64),COUNTIFS(Base!$BS:$BS,Análise!A$64))</f>
        <v>0</v>
      </c>
      <c r="D64" s="12" t="s">
        <v>38</v>
      </c>
      <c r="E64" s="12">
        <f>IF($B$1&lt;&gt;"",COUNTIFS(Base!$C:$C,Análise!$B$1,Base!$AD:$AD,Análise!$D64),COUNTIF(Base!$AD:$AD,Análise!$D64))</f>
        <v>0</v>
      </c>
      <c r="H64" s="12" t="s">
        <v>49</v>
      </c>
      <c r="I64" s="12">
        <f>IF($B$1&lt;&gt;"",COUNTIFS(Base!$C:$C,Análise!$B$1,Base!$AF:$AF,Análise!$H64),COUNTIFS(Base!$AF:$AF,Análise!$H64))</f>
        <v>0</v>
      </c>
      <c r="K64" s="12" t="s">
        <v>32</v>
      </c>
      <c r="L64" s="12">
        <f>IF($B$1&lt;&gt;"",COUNTIFS(Base!$C:$C,Análise!$B$1,Base!$AM:$AM,Análise!K$64),COUNTIF(Base!$AM:$AM,Análise!K$64))</f>
        <v>0</v>
      </c>
      <c r="N64" s="12" t="s">
        <v>139</v>
      </c>
      <c r="O64" s="12">
        <f>IF($B$1&lt;&gt;"",COUNTIFS(Base!$C:$C,Análise!$B$1,Base!$AN:$AN,Análise!N$64),COUNTIF(Base!$AN:$AN,Análise!N$64))</f>
        <v>0</v>
      </c>
    </row>
    <row r="65" spans="1:15" x14ac:dyDescent="0.3">
      <c r="A65" s="12" t="s">
        <v>78</v>
      </c>
      <c r="B65" s="16">
        <f>IF(Análise!$B$1&lt;&gt;"",COUNTIFS(Base!$C:$C,Análise!$B$1,Base!$BS:$BS,Análise!A$65),COUNTIFS(Base!$BS:$BS,Análise!A$65))</f>
        <v>0</v>
      </c>
      <c r="C65" s="6"/>
      <c r="D65" s="6"/>
      <c r="E65" s="6"/>
      <c r="F65" s="6"/>
      <c r="H65" s="12" t="s">
        <v>23</v>
      </c>
      <c r="I65" s="12">
        <f>IF($B$1&lt;&gt;"",COUNTIFS(Base!$C:$C,Análise!$B$1,Base!$AF:$AF,Análise!$H65),COUNTIFS(Base!$AF:$AF,Análise!$H65))</f>
        <v>0</v>
      </c>
      <c r="K65" s="12" t="s">
        <v>109</v>
      </c>
      <c r="L65" s="12">
        <f>IF($B$1&lt;&gt;"",COUNTIFS(Base!$C:$C,Análise!$B$1,Base!$AM:$AM,Análise!K$65),COUNTIF(Base!$AM:$AM,Análise!K$65))</f>
        <v>0</v>
      </c>
      <c r="N65" s="12" t="s">
        <v>135</v>
      </c>
      <c r="O65" s="12">
        <f>IF($B$1&lt;&gt;"",COUNTIFS(Base!$C:$C,Análise!$B$1,Base!$AN:$AN,Análise!N$65),COUNTIF(Base!$AN:$AN,Análise!N$65))</f>
        <v>0</v>
      </c>
    </row>
    <row r="66" spans="1:15" x14ac:dyDescent="0.3">
      <c r="A66" s="12" t="s">
        <v>125</v>
      </c>
      <c r="B66" s="16">
        <f>IF(Análise!$B$1&lt;&gt;"",COUNTIFS(Base!$C:$C,Análise!$B$1,Base!$BS:$BS,Análise!A$66),COUNTIFS(Base!$BS:$BS,Análise!A$66))</f>
        <v>0</v>
      </c>
      <c r="C66" s="6"/>
      <c r="D66" s="15" t="s">
        <v>207</v>
      </c>
      <c r="E66" s="15" t="s">
        <v>206</v>
      </c>
      <c r="F66" s="6"/>
      <c r="G66" s="6"/>
      <c r="K66" s="12" t="s">
        <v>35</v>
      </c>
      <c r="L66" s="12">
        <f>IF($B$1&lt;&gt;"",COUNTIFS(Base!$C:$C,Análise!$B$1,Base!$AM:$AM,Análise!K$66),COUNTIF(Base!$AM:$AM,Análise!K$66))</f>
        <v>0</v>
      </c>
      <c r="N66" s="12" t="s">
        <v>104</v>
      </c>
      <c r="O66" s="12">
        <f>IF($B$1&lt;&gt;"",COUNTIFS(Base!$C:$C,Análise!$B$1,Base!$AN:$AN,Análise!N$66),COUNTIF(Base!$AN:$AN,Análise!N$66))</f>
        <v>0</v>
      </c>
    </row>
    <row r="67" spans="1:15" x14ac:dyDescent="0.3">
      <c r="A67" s="12" t="s">
        <v>86</v>
      </c>
      <c r="B67" s="16">
        <f>IF(Análise!$B$1&lt;&gt;"",COUNTIFS(Base!$C:$C,Análise!$B$1,Base!$BS:$BS,Análise!A$67),COUNTIFS(Base!$BS:$BS,Análise!A$67))</f>
        <v>0</v>
      </c>
      <c r="D67" s="12" t="s">
        <v>69</v>
      </c>
      <c r="E67" s="12">
        <f>IF($B$1&lt;&gt;"",COUNTIFS(Base!$C:$C,Análise!$B$1,Base!$AE:$AE,Análise!$D67),COUNTIF(Base!$AE:$AE,Análise!$D67))</f>
        <v>0</v>
      </c>
      <c r="H67" s="15" t="s">
        <v>211</v>
      </c>
      <c r="I67" s="15" t="s">
        <v>212</v>
      </c>
      <c r="K67" s="12" t="s">
        <v>29</v>
      </c>
      <c r="L67" s="12">
        <f>IF($B$1&lt;&gt;"",COUNTIFS(Base!$C:$C,Análise!$B$1,Base!$AM:$AM,Análise!K$67),COUNTIF(Base!$AM:$AM,Análise!K$67))</f>
        <v>0</v>
      </c>
    </row>
    <row r="68" spans="1:15" x14ac:dyDescent="0.3">
      <c r="A68" s="6"/>
      <c r="B68" s="6"/>
      <c r="D68" s="12" t="s">
        <v>113</v>
      </c>
      <c r="E68" s="12">
        <f>IF($B$1&lt;&gt;"",COUNTIFS(Base!$C:$C,Análise!$B$1,Base!$AE:$AE,Análise!$D68),COUNTIF(Base!$AE:$AE,Análise!$D68))</f>
        <v>0</v>
      </c>
      <c r="H68" s="12" t="s">
        <v>69</v>
      </c>
      <c r="I68" s="12">
        <f>IF($B$1&lt;&gt;"",COUNTIFS(Base!$C:$C,Análise!$B$1,Base!$AG:$AG,Análise!$H68),COUNTIFS(Base!$AG:$AG,Análise!$H68))</f>
        <v>0</v>
      </c>
    </row>
    <row r="69" spans="1:15" x14ac:dyDescent="0.3">
      <c r="A69" s="6"/>
      <c r="B69" s="6"/>
      <c r="D69" s="12" t="s">
        <v>22</v>
      </c>
      <c r="E69" s="12">
        <f>IF($B$1&lt;&gt;"",COUNTIFS(Base!$C:$C,Análise!$B$1,Base!$AE:$AE,Análise!$D69),COUNTIF(Base!$AE:$AE,Análise!$D69))</f>
        <v>0</v>
      </c>
      <c r="H69" s="12" t="s">
        <v>50</v>
      </c>
      <c r="I69" s="12">
        <f>IF($B$1&lt;&gt;"",COUNTIFS(Base!$C:$C,Análise!$B$1,Base!$AG:$AG,Análise!$H69),COUNTIFS(Base!$AG:$AG,Análise!$H69))</f>
        <v>0</v>
      </c>
      <c r="K69" s="15" t="s">
        <v>217</v>
      </c>
      <c r="L69" s="15" t="s">
        <v>153</v>
      </c>
    </row>
    <row r="70" spans="1:15" x14ac:dyDescent="0.3">
      <c r="A70" s="6"/>
      <c r="B70" s="6"/>
      <c r="D70" s="12" t="s">
        <v>94</v>
      </c>
      <c r="E70" s="12">
        <f>IF($B$1&lt;&gt;"",COUNTIFS(Base!$C:$C,Análise!$B$1,Base!$AE:$AE,Análise!$D70),COUNTIF(Base!$AE:$AE,Análise!$D70))</f>
        <v>0</v>
      </c>
      <c r="H70" s="12" t="s">
        <v>24</v>
      </c>
      <c r="I70" s="12">
        <f>IF($B$1&lt;&gt;"",COUNTIFS(Base!$C:$C,Análise!$B$1,Base!$AG:$AG,Análise!$H70),COUNTIFS(Base!$AG:$AG,Análise!$H70))</f>
        <v>0</v>
      </c>
      <c r="K70" s="12" t="s">
        <v>140</v>
      </c>
      <c r="L70" s="12">
        <f>IF($B$1&lt;&gt;"",COUNTIFS(Base!$C:$C,Análise!$B$1,Base!$AO:$AO,Análise!K$70),COUNTIF(Base!$AO:$AO,Análise!K$70))</f>
        <v>0</v>
      </c>
    </row>
    <row r="71" spans="1:15" x14ac:dyDescent="0.3">
      <c r="A71" s="6"/>
      <c r="B71" s="6"/>
      <c r="D71" s="12" t="s">
        <v>208</v>
      </c>
      <c r="E71" s="12">
        <f>IF($B$1&lt;&gt;"",COUNTIFS(Base!$C:$C,Análise!$B$1,Base!$AE:$AE,Análise!$D71),COUNTIF(Base!$AE:$AE,Análise!$D71))</f>
        <v>0</v>
      </c>
      <c r="H71" s="12" t="s">
        <v>81</v>
      </c>
      <c r="I71" s="12">
        <f>IF($B$1&lt;&gt;"",COUNTIFS(Base!$C:$C,Análise!$B$1,Base!$AG:$AG,Análise!$H71),COUNTIFS(Base!$AG:$AG,Análise!$H71))</f>
        <v>0</v>
      </c>
      <c r="K71" s="12" t="s">
        <v>105</v>
      </c>
      <c r="L71" s="12">
        <f>IF($B$1&lt;&gt;"",COUNTIFS(Base!$C:$C,Análise!$B$1,Base!$AO:$AO,Análise!K$71),COUNTIF(Base!$AO:$AO,Análise!K$71))</f>
        <v>0</v>
      </c>
    </row>
    <row r="72" spans="1:15" x14ac:dyDescent="0.3">
      <c r="A72" s="6"/>
      <c r="B72" s="6"/>
      <c r="D72" s="12" t="s">
        <v>63</v>
      </c>
      <c r="E72" s="12">
        <f>IF($B$1&lt;&gt;"",COUNTIFS(Base!$C:$C,Análise!$B$1,Base!$AE:$AE,Análise!$D72),COUNTIF(Base!$AE:$AE,Análise!$D72))</f>
        <v>0</v>
      </c>
      <c r="H72" s="12" t="s">
        <v>64</v>
      </c>
      <c r="I72" s="12">
        <f>IF($B$1&lt;&gt;"",COUNTIFS(Base!$C:$C,Análise!$B$1,Base!$AG:$AG,Análise!$H72),COUNTIFS(Base!$AG:$AG,Análise!$H72))</f>
        <v>0</v>
      </c>
      <c r="K72" s="12" t="s">
        <v>218</v>
      </c>
      <c r="L72" s="12">
        <f>IF($B$1&lt;&gt;"",COUNTIFS(Base!$C:$C,Análise!$B$1,Base!$AO:$AO,Análise!K$72),COUNTIF(Base!$AO:$AO,Análise!K$72))</f>
        <v>0</v>
      </c>
    </row>
    <row r="73" spans="1:15" x14ac:dyDescent="0.3">
      <c r="A73" s="6"/>
      <c r="B73" s="6"/>
      <c r="D73" s="12" t="s">
        <v>90</v>
      </c>
      <c r="E73" s="12">
        <f>IF($B$1&lt;&gt;"",COUNTIFS(Base!$C:$C,Análise!$B$1,Base!$AE:$AE,Análise!$D73),COUNTIF(Base!$AE:$AE,Análise!$D73))</f>
        <v>0</v>
      </c>
      <c r="H73" s="12" t="s">
        <v>213</v>
      </c>
      <c r="I73" s="12">
        <f>IF($B$1&lt;&gt;"",COUNTIFS(Base!$C:$C,Análise!$B$1,Base!$AG:$AG,Análise!$H73),COUNTIFS(Base!$AG:$AG,Análise!$H73))</f>
        <v>0</v>
      </c>
      <c r="K73" s="12" t="s">
        <v>219</v>
      </c>
      <c r="L73" s="12">
        <f>IF($B$1&lt;&gt;"",COUNTIFS(Base!$C:$C,Análise!$B$1,Base!$AO:$AO,Análise!K$73),COUNTIF(Base!$AO:$AO,Análise!K$73))</f>
        <v>0</v>
      </c>
    </row>
    <row r="74" spans="1:15" x14ac:dyDescent="0.3">
      <c r="A74" s="6"/>
      <c r="B74" s="6"/>
      <c r="D74" s="12" t="s">
        <v>48</v>
      </c>
      <c r="E74" s="12">
        <f>IF($B$1&lt;&gt;"",COUNTIFS(Base!$C:$C,Análise!$B$1,Base!$AE:$AE,Análise!$D74),COUNTIF(Base!$AE:$AE,Análise!$D74))</f>
        <v>0</v>
      </c>
      <c r="H74" s="12" t="s">
        <v>95</v>
      </c>
      <c r="I74" s="12">
        <f>IF($B$1&lt;&gt;"",COUNTIFS(Base!$C:$C,Análise!$B$1,Base!$AG:$AG,Análise!$H74),COUNTIFS(Base!$AG:$AG,Análise!$H74))</f>
        <v>0</v>
      </c>
      <c r="K74" s="12" t="s">
        <v>220</v>
      </c>
      <c r="L74" s="12">
        <f>IF($B$1&lt;&gt;"",COUNTIFS(Base!$C:$C,Análise!$B$1,Base!$AO:$AO,Análise!K$74),COUNTIF(Base!$AO:$AO,Análise!K$74))</f>
        <v>0</v>
      </c>
    </row>
    <row r="75" spans="1:15" x14ac:dyDescent="0.3">
      <c r="H75" s="12" t="s">
        <v>111</v>
      </c>
      <c r="I75" s="12">
        <f>IF($B$1&lt;&gt;"",COUNTIFS(Base!$C:$C,Análise!$B$1,Base!$AG:$AG,Análise!$H75),COUNTIFS(Base!$AG:$AG,Análise!$H75))</f>
        <v>0</v>
      </c>
      <c r="K75" s="12" t="s">
        <v>221</v>
      </c>
      <c r="L75" s="12">
        <f>IF($B$1&lt;&gt;"",COUNTIFS(Base!$C:$C,Análise!$B$1,Base!$AO:$AO,Análise!K$75),COUNTIF(Base!$AO:$AO,Análise!K$75))</f>
        <v>0</v>
      </c>
    </row>
    <row r="76" spans="1:15" x14ac:dyDescent="0.3">
      <c r="A76" s="6"/>
      <c r="B76" s="6"/>
      <c r="C76" s="6"/>
      <c r="D76" s="6"/>
      <c r="E76" s="6"/>
      <c r="F76" s="6"/>
      <c r="K76" s="12" t="s">
        <v>30</v>
      </c>
      <c r="L76" s="12">
        <f>IF($B$1&lt;&gt;"",COUNTIFS(Base!$C:$C,Análise!$B$1,Base!$AO:$AO,Análise!K$76),COUNTIF(Base!$AO:$AO,Análise!K$76))</f>
        <v>0</v>
      </c>
    </row>
    <row r="77" spans="1:15" x14ac:dyDescent="0.3">
      <c r="A77" s="6"/>
      <c r="B77" s="6"/>
      <c r="C77" s="6"/>
      <c r="D77" s="6"/>
      <c r="E77" s="6"/>
      <c r="F77" s="6"/>
      <c r="K77" s="12" t="s">
        <v>74</v>
      </c>
      <c r="L77" s="12">
        <f>IF($B$1&lt;&gt;"",COUNTIFS(Base!$C:$C,Análise!$B$1,Base!$AO:$AO,Análise!K$77),COUNTIF(Base!$AO:$AO,Análise!K$77))</f>
        <v>0</v>
      </c>
    </row>
    <row r="78" spans="1:15" x14ac:dyDescent="0.3">
      <c r="A78" s="6"/>
      <c r="B78" s="6"/>
      <c r="K78" s="12" t="s">
        <v>82</v>
      </c>
      <c r="L78" s="12">
        <f>IF($B$1&lt;&gt;"",COUNTIFS(Base!$C:$C,Análise!$B$1,Base!$AO:$AO,Análise!K$78),COUNTIF(Base!$AO:$AO,Análise!K$78))</f>
        <v>0</v>
      </c>
    </row>
    <row r="79" spans="1:15" x14ac:dyDescent="0.3">
      <c r="K79" s="12" t="s">
        <v>84</v>
      </c>
      <c r="L79" s="12">
        <f>IF($B$1&lt;&gt;"",COUNTIFS(Base!$C:$C,Análise!$B$1,Base!$AO:$AO,Análise!K$79),COUNTIF(Base!$AO:$AO,Análise!K$79))</f>
        <v>0</v>
      </c>
    </row>
    <row r="80" spans="1:15" x14ac:dyDescent="0.3">
      <c r="K80" s="12" t="s">
        <v>96</v>
      </c>
      <c r="L80" s="12">
        <f>IF($B$1&lt;&gt;"",COUNTIFS(Base!$C:$C,Análise!$B$1,Base!$AO:$AO,Análise!K$80),COUNTIF(Base!$AO:$AO,Análise!K$80))</f>
        <v>0</v>
      </c>
    </row>
    <row r="81" spans="1:24" x14ac:dyDescent="0.3">
      <c r="K81" s="12" t="s">
        <v>99</v>
      </c>
      <c r="L81" s="12">
        <f>IF($B$1&lt;&gt;"",COUNTIFS(Base!$C:$C,Análise!$B$1,Base!$AO:$AO,Análise!K$81),COUNTIF(Base!$AO:$AO,Análise!K$81))</f>
        <v>0</v>
      </c>
    </row>
    <row r="82" spans="1:24" x14ac:dyDescent="0.3">
      <c r="K82" s="12" t="s">
        <v>76</v>
      </c>
      <c r="L82" s="12">
        <f>IF($B$1&lt;&gt;"",COUNTIFS(Base!$C:$C,Análise!$B$1,Base!$AO:$AO,Análise!K$82),COUNTIF(Base!$AO:$AO,Análise!K$82))</f>
        <v>0</v>
      </c>
    </row>
    <row r="83" spans="1:24" x14ac:dyDescent="0.3">
      <c r="K83" s="12" t="s">
        <v>107</v>
      </c>
      <c r="L83" s="12">
        <f>IF($B$1&lt;&gt;"",COUNTIFS(Base!$C:$C,Análise!$B$1,Base!$AO:$AO,Análise!K$83),COUNTIF(Base!$AO:$AO,Análise!K$83))</f>
        <v>0</v>
      </c>
    </row>
    <row r="84" spans="1:24" x14ac:dyDescent="0.3">
      <c r="K84" s="12" t="s">
        <v>108</v>
      </c>
      <c r="L84" s="12">
        <f>IF($B$1&lt;&gt;"",COUNTIFS(Base!$C:$C,Análise!$B$1,Base!$AO:$AO,Análise!K$84),COUNTIF(Base!$AO:$AO,Análise!K$84))</f>
        <v>0</v>
      </c>
    </row>
    <row r="87" spans="1:24" x14ac:dyDescent="0.3">
      <c r="A87" s="15"/>
      <c r="B87" s="15" t="s">
        <v>37</v>
      </c>
      <c r="C87" s="15" t="s">
        <v>57</v>
      </c>
      <c r="D87" s="15" t="s">
        <v>66</v>
      </c>
      <c r="E87" s="15" t="s">
        <v>85</v>
      </c>
      <c r="F87" s="15" t="s">
        <v>91</v>
      </c>
      <c r="G87" s="15" t="s">
        <v>97</v>
      </c>
      <c r="H87" s="15" t="s">
        <v>121</v>
      </c>
      <c r="I87" s="15" t="s">
        <v>123</v>
      </c>
      <c r="J87" s="15" t="s">
        <v>151</v>
      </c>
      <c r="K87" s="15" t="s">
        <v>120</v>
      </c>
      <c r="L87" s="15" t="s">
        <v>148</v>
      </c>
      <c r="M87" s="15" t="s">
        <v>112</v>
      </c>
      <c r="N87" s="15" t="s">
        <v>115</v>
      </c>
      <c r="O87" s="15" t="s">
        <v>119</v>
      </c>
      <c r="P87" s="15" t="s">
        <v>128</v>
      </c>
      <c r="Q87" s="15" t="s">
        <v>129</v>
      </c>
      <c r="R87" s="15" t="s">
        <v>132</v>
      </c>
      <c r="S87" s="15" t="s">
        <v>136</v>
      </c>
      <c r="T87" s="15" t="s">
        <v>137</v>
      </c>
      <c r="U87" s="15" t="s">
        <v>138</v>
      </c>
      <c r="V87" s="15" t="s">
        <v>141</v>
      </c>
      <c r="W87" s="15" t="s">
        <v>142</v>
      </c>
      <c r="X87" s="15" t="s">
        <v>146</v>
      </c>
    </row>
    <row r="88" spans="1:24" x14ac:dyDescent="0.3">
      <c r="A88" s="16" t="s">
        <v>6</v>
      </c>
      <c r="B88" s="16">
        <f>IF(Análise!$B$1&lt;&gt;"",COUNTIFS(Base!$C:$C,Análise!$B$1,Base!$BH:$BH,Análise!B$87),COUNTIFS(Base!$BH:$BH,Análise!B$87))</f>
        <v>0</v>
      </c>
      <c r="C88" s="16">
        <f>IF(Análise!$B$1&lt;&gt;"",COUNTIFS(Base!$C:$C,Análise!$B$1,Base!$BH:$BH,Análise!C$87),COUNTIFS(Base!$BH:$BH,Análise!C$87))</f>
        <v>0</v>
      </c>
      <c r="D88" s="16">
        <f>IF(Análise!$B$1&lt;&gt;"",COUNTIFS(Base!$C:$C,Análise!$B$1,Base!$BH:$BH,Análise!D$87),COUNTIFS(Base!$BH:$BH,Análise!D$87))</f>
        <v>0</v>
      </c>
      <c r="E88" s="16">
        <f>IF(Análise!$B$1&lt;&gt;"",COUNTIFS(Base!$C:$C,Análise!$B$1,Base!$BH:$BH,Análise!E$87),COUNTIFS(Base!$BH:$BH,Análise!E$87))</f>
        <v>0</v>
      </c>
      <c r="F88" s="16">
        <f>IF(Análise!$B$1&lt;&gt;"",COUNTIFS(Base!$C:$C,Análise!$B$1,Base!$BH:$BH,Análise!F$87),COUNTIFS(Base!$BH:$BH,Análise!F$87))</f>
        <v>0</v>
      </c>
      <c r="G88" s="16">
        <f>IF(Análise!$B$1&lt;&gt;"",COUNTIFS(Base!$C:$C,Análise!$B$1,Base!$BH:$BH,Análise!G$87),COUNTIFS(Base!$BH:$BH,Análise!G$87))</f>
        <v>0</v>
      </c>
      <c r="H88" s="16">
        <f>IF(Análise!$B$1&lt;&gt;"",COUNTIFS(Base!$C:$C,Análise!$B$1,Base!$BH:$BH,Análise!H$87),COUNTIFS(Base!$BH:$BH,Análise!H$87))</f>
        <v>0</v>
      </c>
      <c r="I88" s="16">
        <f>IF(Análise!$B$1&lt;&gt;"",COUNTIFS(Base!$C:$C,Análise!$B$1,Base!$BH:$BH,Análise!I$87),COUNTIFS(Base!$BH:$BH,Análise!I$87))</f>
        <v>0</v>
      </c>
      <c r="J88" s="16">
        <f>IF(Análise!$B$1&lt;&gt;"",COUNTIFS(Base!$C:$C,Análise!$B$1,Base!$BH:$BH,Análise!J$87),COUNTIFS(Base!$BH:$BH,Análise!J$87))</f>
        <v>0</v>
      </c>
      <c r="K88" s="16">
        <f>IF(Análise!$B$1&lt;&gt;"",COUNTIFS(Base!$C:$C,Análise!$B$1,Base!$BH:$BH,Análise!K$87),COUNTIFS(Base!$BH:$BH,Análise!K$87))</f>
        <v>0</v>
      </c>
      <c r="L88" s="16">
        <f>IF(Análise!$B$1&lt;&gt;"",COUNTIFS(Base!$C:$C,Análise!$B$1,Base!$BH:$BH,Análise!L$87),COUNTIFS(Base!$BH:$BH,Análise!L$87))</f>
        <v>0</v>
      </c>
      <c r="M88" s="16">
        <f>IF(Análise!$B$1&lt;&gt;"",COUNTIFS(Base!$C:$C,Análise!$B$1,Base!$BH:$BH,Análise!M$87),COUNTIFS(Base!$BH:$BH,Análise!M$87))</f>
        <v>0</v>
      </c>
      <c r="N88" s="16">
        <f>IF(Análise!$B$1&lt;&gt;"",COUNTIFS(Base!$C:$C,Análise!$B$1,Base!$BH:$BH,Análise!N$87),COUNTIFS(Base!$BH:$BH,Análise!N$87))</f>
        <v>0</v>
      </c>
      <c r="O88" s="16">
        <f>IF(Análise!$B$1&lt;&gt;"",COUNTIFS(Base!$C:$C,Análise!$B$1,Base!$BH:$BH,Análise!O$87),COUNTIFS(Base!$BH:$BH,Análise!O$87))</f>
        <v>0</v>
      </c>
      <c r="P88" s="16">
        <f>IF(Análise!$B$1&lt;&gt;"",COUNTIFS(Base!$C:$C,Análise!$B$1,Base!$BH:$BH,Análise!P$87),COUNTIFS(Base!$BH:$BH,Análise!P$87))</f>
        <v>0</v>
      </c>
      <c r="Q88" s="16">
        <f>IF(Análise!$B$1&lt;&gt;"",COUNTIFS(Base!$C:$C,Análise!$B$1,Base!$BH:$BH,Análise!Q$87),COUNTIFS(Base!$BH:$BH,Análise!Q$87))</f>
        <v>0</v>
      </c>
      <c r="R88" s="16">
        <f>IF(Análise!$B$1&lt;&gt;"",COUNTIFS(Base!$C:$C,Análise!$B$1,Base!$BH:$BH,Análise!R$87),COUNTIFS(Base!$BH:$BH,Análise!R$87))</f>
        <v>0</v>
      </c>
      <c r="S88" s="16">
        <f>IF(Análise!$B$1&lt;&gt;"",COUNTIFS(Base!$C:$C,Análise!$B$1,Base!$BH:$BH,Análise!S$87),COUNTIFS(Base!$BH:$BH,Análise!S$87))</f>
        <v>0</v>
      </c>
      <c r="T88" s="16">
        <f>IF(Análise!$B$1&lt;&gt;"",COUNTIFS(Base!$C:$C,Análise!$B$1,Base!$BH:$BH,Análise!T$87),COUNTIFS(Base!$BH:$BH,Análise!T$87))</f>
        <v>0</v>
      </c>
      <c r="U88" s="16">
        <f>IF(Análise!$B$1&lt;&gt;"",COUNTIFS(Base!$C:$C,Análise!$B$1,Base!$BH:$BH,Análise!U$87),COUNTIFS(Base!$BH:$BH,Análise!U$87))</f>
        <v>0</v>
      </c>
      <c r="V88" s="16">
        <f>IF(Análise!$B$1&lt;&gt;"",COUNTIFS(Base!$C:$C,Análise!$B$1,Base!$BH:$BH,Análise!V$87),COUNTIFS(Base!$BH:$BH,Análise!V$87))</f>
        <v>0</v>
      </c>
      <c r="W88" s="16">
        <f>IF(Análise!$B$1&lt;&gt;"",COUNTIFS(Base!$C:$C,Análise!$B$1,Base!$BH:$BH,Análise!W$87),COUNTIFS(Base!$BH:$BH,Análise!W$87))</f>
        <v>0</v>
      </c>
      <c r="X88" s="16">
        <f>IF(Análise!$B$1&lt;&gt;"",COUNTIFS(Base!$C:$C,Análise!$B$1,Base!$BH:$BH,Análise!X$87),COUNTIFS(Base!$BH:$BH,Análise!X$87))</f>
        <v>0</v>
      </c>
    </row>
    <row r="89" spans="1:24" x14ac:dyDescent="0.3">
      <c r="A89" s="6"/>
      <c r="B89" s="6"/>
    </row>
    <row r="90" spans="1:24" x14ac:dyDescent="0.3">
      <c r="A90" s="31" t="s">
        <v>276</v>
      </c>
      <c r="B90" s="33" t="s">
        <v>12</v>
      </c>
      <c r="C90" s="33" t="s">
        <v>43</v>
      </c>
      <c r="D90" s="33" t="s">
        <v>130</v>
      </c>
      <c r="E90" s="34" t="s">
        <v>156</v>
      </c>
      <c r="F90" s="34" t="s">
        <v>157</v>
      </c>
      <c r="G90" s="34" t="s">
        <v>277</v>
      </c>
      <c r="H90" s="34" t="s">
        <v>278</v>
      </c>
      <c r="I90" s="34" t="s">
        <v>102</v>
      </c>
      <c r="J90" s="35" t="s">
        <v>155</v>
      </c>
    </row>
    <row r="91" spans="1:24" x14ac:dyDescent="0.3">
      <c r="A91" s="30" t="s">
        <v>279</v>
      </c>
      <c r="B91" s="36">
        <f>IF($B$1&lt;&gt;"",COUNTIFS(Base!$C:$C,Análise!$B$1,Base!$H:$H,$B$90,Base!$BV:$BV,"&lt;=25"),COUNTIFS(Base!$H:$H,$B$90,Base!$BV:$BV,"&lt;=25"))</f>
        <v>0</v>
      </c>
      <c r="C91" s="36">
        <f>IF($B$1&lt;&gt;"",COUNTIFS(Base!$C:$C,Análise!$B$1,Base!$H:$H,$C$90,Base!$BV:$BV,"&lt;=25"),COUNTIFS(Base!$H:$H,$C$90,Base!$BV:$BV,"&lt;=25"))</f>
        <v>0</v>
      </c>
      <c r="D91" s="36">
        <f>IF($B$1&lt;&gt;"",COUNTIFS(Base!$C:$C,Análise!$B$1,Base!$H:$H,$D$90,Base!$BV:$BV,"&lt;=25"),COUNTIFS(Base!$H:$H,$D$90,Base!$BV:$BV,"&lt;=25"))</f>
        <v>0</v>
      </c>
      <c r="E91" s="36">
        <f>IF($B$1&lt;&gt;"",COUNTIFS(Base!$C:$C,Análise!$B$1,Base!$H:$H,$E$90,Base!$BV:$BV,"&lt;=25"),COUNTIFS(Base!$H:$H,$E$90,Base!$BV:$BV,"&lt;=25"))</f>
        <v>0</v>
      </c>
      <c r="F91" s="36">
        <f>IF($B$1&lt;&gt;"",COUNTIFS(Base!$C:$C,Análise!$B$1,Base!$H:$H,$F$90,Base!$BV:$BV,"&lt;=25"),COUNTIFS(Base!$H:$H,$F$90,Base!$BV:$BV,"&lt;=25"))</f>
        <v>0</v>
      </c>
      <c r="G91" s="36">
        <f>IF($B$1&lt;&gt;"",COUNTIFS(Base!$C:$C,Análise!$B$1,Base!$H:$H,$G$90,Base!$BV:$BV,"&lt;=25"),COUNTIFS(Base!$H:$H,$G$90,Base!$BV:$BV,"&lt;=25"))</f>
        <v>0</v>
      </c>
      <c r="H91" s="36">
        <f>IF($B$1&lt;&gt;"",COUNTIFS(Base!$C:$C,Análise!$B$1,Base!$H:$H,$H$90,Base!$BV:$BV,"&lt;=25"),COUNTIFS(Base!$H:$H,$H$90,Base!$BV:$BV,"&lt;=25"))</f>
        <v>0</v>
      </c>
      <c r="I91" s="36">
        <f>IF($B$1&lt;&gt;"",COUNTIFS(Base!$C:$C,Análise!$B$1,Base!$H:$H,$I$90,Base!$BV:$BV,"&lt;=25"),COUNTIFS(Base!$H:$H,$I$90,Base!$BV:$BV,"&lt;=25"))</f>
        <v>0</v>
      </c>
      <c r="J91" s="36">
        <f>IF($B$1&lt;&gt;"",COUNTIFS(Base!$C:$C,Análise!$B$1,Base!$H:$H,$J$90,Base!$BV:$BV,"&lt;=25"),COUNTIFS(Base!$H:$H,$J$90,Base!$BV:$BV,"&lt;=25"))</f>
        <v>0</v>
      </c>
    </row>
    <row r="92" spans="1:24" x14ac:dyDescent="0.3">
      <c r="A92" s="30" t="s">
        <v>280</v>
      </c>
      <c r="B92" s="36">
        <f>IF($B$1&lt;&gt;"",COUNTIFS(Base!$C:$C,Análise!$B$1,Base!$H:$H,$B$90,Base!$BV:$BV,"&gt;=26",Base!$BV:$BV,"&lt;=35"),COUNTIFS(Base!$H:$H,$B$90,Base!$BV:$BV,"&gt;=26",Base!$BV:$BV,"&lt;=35"))</f>
        <v>0</v>
      </c>
      <c r="C92" s="36">
        <f>IF($B$1&lt;&gt;"",COUNTIFS(Base!$C:$C,Análise!$B$1,Base!$H:$H,$C$90,Base!$BV:$BV,"&gt;=26",Base!$BV:$BV,"&lt;=35"),COUNTIFS(Base!$H:$H,$C$90,Base!$BV:$BV,"&gt;=26",Base!$BV:$BV,"&lt;=35"))</f>
        <v>0</v>
      </c>
      <c r="D92" s="36">
        <f>IF($B$1&lt;&gt;"",COUNTIFS(Base!$C:$C,Análise!$B$1,Base!$H:$H,$D$90,Base!$BV:$BV,"&gt;=26",Base!$BV:$BV,"&lt;=35"),COUNTIFS(Base!$H:$H,$D$90,Base!$BV:$BV,"&gt;=26",Base!$BV:$BV,"&lt;=35"))</f>
        <v>0</v>
      </c>
      <c r="E92" s="36">
        <f>IF($B$1&lt;&gt;"",COUNTIFS(Base!$C:$C,Análise!$B$1,Base!$H:$H,$E$90,Base!$BV:$BV,"&gt;=26",Base!$BV:$BV,"&lt;=35"),COUNTIFS(Base!$H:$H,$E$90,Base!$BV:$BV,"&gt;=26",Base!$BV:$BV,"&lt;=35"))</f>
        <v>0</v>
      </c>
      <c r="F92" s="36">
        <f>IF($B$1&lt;&gt;"",COUNTIFS(Base!$C:$C,Análise!$B$1,Base!$H:$H,$F$90,Base!$BV:$BV,"&gt;=26",Base!$BV:$BV,"&lt;=35"),COUNTIFS(Base!$H:$H,$F$90,Base!$BV:$BV,"&gt;=26",Base!$BV:$BV,"&lt;=35"))</f>
        <v>0</v>
      </c>
      <c r="G92" s="36">
        <f>IF($B$1&lt;&gt;"",COUNTIFS(Base!$C:$C,Análise!$B$1,Base!$H:$H,$G$90,Base!$BV:$BV,"&gt;=26",Base!$BV:$BV,"&lt;=35"),COUNTIFS(Base!$H:$H,$G$90,Base!$BV:$BV,"&gt;=26",Base!$BV:$BV,"&lt;=35"))</f>
        <v>0</v>
      </c>
      <c r="H92" s="36">
        <f>IF($B$1&lt;&gt;"",COUNTIFS(Base!$C:$C,Análise!$B$1,Base!$H:$H,$H$90,Base!$BV:$BV,"&gt;=26",Base!$BV:$BV,"&lt;=35"),COUNTIFS(Base!$H:$H,$H$90,Base!$BV:$BV,"&gt;=26",Base!$BV:$BV,"&lt;=35"))</f>
        <v>0</v>
      </c>
      <c r="I92" s="36">
        <f>IF($B$1&lt;&gt;"",COUNTIFS(Base!$C:$C,Análise!$B$1,Base!$H:$H,$I$90,Base!$BV:$BV,"&gt;=26",Base!$BV:$BV,"&lt;=35"),COUNTIFS(Base!$H:$H,$I$90,Base!$BV:$BV,"&gt;=26",Base!$BV:$BV,"&lt;=35"))</f>
        <v>0</v>
      </c>
      <c r="J92" s="36">
        <f>IF($B$1&lt;&gt;"",COUNTIFS(Base!$C:$C,Análise!$B$1,Base!$H:$H,$J$90,Base!$BV:$BV,"&gt;=26",Base!$BV:$BV,"&lt;=35"),COUNTIFS(Base!$H:$H,$J$90,Base!$BV:$BV,"&gt;=26",Base!$BV:$BV,"&lt;=35"))</f>
        <v>0</v>
      </c>
    </row>
    <row r="93" spans="1:24" x14ac:dyDescent="0.3">
      <c r="A93" s="30" t="s">
        <v>281</v>
      </c>
      <c r="B93" s="36">
        <f>IF($B$1&lt;&gt;"",COUNTIFS(Base!$C:$C,Análise!$B$1,Base!$H:$H,$B$90,Base!$BV:$BV,"&gt;=36",Base!$BV:$BV,"&lt;=45"),COUNTIFS(Base!$H:$H,$B$90,Base!$BV:$BV,"&gt;=36",Base!$BV:$BV,"&lt;=45"))</f>
        <v>0</v>
      </c>
      <c r="C93" s="36">
        <f>IF($B$1&lt;&gt;"",COUNTIFS(Base!$C:$C,Análise!$B$1,Base!$H:$H,$C$90,Base!$BV:$BV,"&gt;=36",Base!$BV:$BV,"&lt;=45"),COUNTIFS(Base!$H:$H,$C$90,Base!$BV:$BV,"&gt;=36",Base!$BV:$BV,"&lt;=45"))</f>
        <v>0</v>
      </c>
      <c r="D93" s="36">
        <f>IF($B$1&lt;&gt;"",COUNTIFS(Base!$C:$C,Análise!$B$1,Base!$H:$H,$D$90,Base!$BV:$BV,"&gt;=36",Base!$BV:$BV,"&lt;=45"),COUNTIFS(Base!$H:$H,$D$90,Base!$BV:$BV,"&gt;=36",Base!$BV:$BV,"&lt;=45"))</f>
        <v>0</v>
      </c>
      <c r="E93" s="36">
        <f>IF($B$1&lt;&gt;"",COUNTIFS(Base!$C:$C,Análise!$B$1,Base!$H:$H,$E$90,Base!$BV:$BV,"&gt;=36",Base!$BV:$BV,"&lt;=45"),COUNTIFS(Base!$H:$H,$E$90,Base!$BV:$BV,"&gt;=36",Base!$BV:$BV,"&lt;=45"))</f>
        <v>0</v>
      </c>
      <c r="F93" s="36">
        <f>IF($B$1&lt;&gt;"",COUNTIFS(Base!$C:$C,Análise!$B$1,Base!$H:$H,$F$90,Base!$BV:$BV,"&gt;=36",Base!$BV:$BV,"&lt;=45"),COUNTIFS(Base!$H:$H,$F$90,Base!$BV:$BV,"&gt;=36",Base!$BV:$BV,"&lt;=45"))</f>
        <v>0</v>
      </c>
      <c r="G93" s="36">
        <f>IF($B$1&lt;&gt;"",COUNTIFS(Base!$C:$C,Análise!$B$1,Base!$H:$H,$G$90,Base!$BV:$BV,"&gt;=36",Base!$BV:$BV,"&lt;=45"),COUNTIFS(Base!$H:$H,$G$90,Base!$BV:$BV,"&gt;=36",Base!$BV:$BV,"&lt;=45"))</f>
        <v>0</v>
      </c>
      <c r="H93" s="36">
        <f>IF($B$1&lt;&gt;"",COUNTIFS(Base!$C:$C,Análise!$B$1,Base!$H:$H,$H$90,Base!$BV:$BV,"&gt;=36",Base!$BV:$BV,"&lt;=45"),COUNTIFS(Base!$H:$H,$H$90,Base!$BV:$BV,"&gt;=36",Base!$BV:$BV,"&lt;=45"))</f>
        <v>0</v>
      </c>
      <c r="I93" s="36">
        <f>IF($B$1&lt;&gt;"",COUNTIFS(Base!$C:$C,Análise!$B$1,Base!$H:$H,$I$90,Base!$BV:$BV,"&gt;=36",Base!$BV:$BV,"&lt;=45"),COUNTIFS(Base!$H:$H,$I$90,Base!$BV:$BV,"&gt;=36",Base!$BV:$BV,"&lt;=45"))</f>
        <v>0</v>
      </c>
      <c r="J93" s="36">
        <f>IF($B$1&lt;&gt;"",COUNTIFS(Base!$C:$C,Análise!$B$1,Base!$H:$H,$J$90,Base!$BV:$BV,"&gt;=36",Base!$BV:$BV,"&lt;=45"),COUNTIFS(Base!$H:$H,$J$90,Base!$BV:$BV,"&gt;=36",Base!$BV:$BV,"&lt;=45"))</f>
        <v>0</v>
      </c>
    </row>
    <row r="94" spans="1:24" x14ac:dyDescent="0.3">
      <c r="A94" s="30" t="s">
        <v>282</v>
      </c>
      <c r="B94" s="36">
        <f>IF($B$1&lt;&gt;"",COUNTIFS(Base!$C:$C,Análise!$B$1,Base!$H:$H,$B$90,Base!$BV:$BV,"&gt;=46",Base!$BV:$BV,"&lt;=60"),COUNTIFS(Base!$H:$H,$B$90,Base!$BV:$BV,"&gt;=46",Base!$BV:$BV,"&lt;=60"))</f>
        <v>0</v>
      </c>
      <c r="C94" s="36">
        <f>IF($B$1&lt;&gt;"",COUNTIFS(Base!$C:$C,Análise!$B$1,Base!$H:$H,$C$90,Base!$BV:$BV,"&gt;=46",Base!$BV:$BV,"&lt;=60"),COUNTIFS(Base!$H:$H,$C$90,Base!$BV:$BV,"&gt;=46",Base!$BV:$BV,"&lt;=60"))</f>
        <v>0</v>
      </c>
      <c r="D94" s="36">
        <f>IF($B$1&lt;&gt;"",COUNTIFS(Base!$C:$C,Análise!$B$1,Base!$H:$H,$D$90,Base!$BV:$BV,"&gt;=46",Base!$BV:$BV,"&lt;=60"),COUNTIFS(Base!$H:$H,$D$90,Base!$BV:$BV,"&gt;=46",Base!$BV:$BV,"&lt;=60"))</f>
        <v>0</v>
      </c>
      <c r="E94" s="36">
        <f>IF($B$1&lt;&gt;"",COUNTIFS(Base!$C:$C,Análise!$B$1,Base!$H:$H,$E$90,Base!$BV:$BV,"&gt;=46",Base!$BV:$BV,"&lt;=60"),COUNTIFS(Base!$H:$H,$E$90,Base!$BV:$BV,"&gt;=46",Base!$BV:$BV,"&lt;=60"))</f>
        <v>0</v>
      </c>
      <c r="F94" s="36">
        <f>IF($B$1&lt;&gt;"",COUNTIFS(Base!$C:$C,Análise!$B$1,Base!$H:$H,$F$90,Base!$BV:$BV,"&gt;=46",Base!$BV:$BV,"&lt;=60"),COUNTIFS(Base!$H:$H,$F$90,Base!$BV:$BV,"&gt;=46",Base!$BV:$BV,"&lt;=60"))</f>
        <v>0</v>
      </c>
      <c r="G94" s="36">
        <f>IF($B$1&lt;&gt;"",COUNTIFS(Base!$C:$C,Análise!$B$1,Base!$H:$H,$G$90,Base!$BV:$BV,"&gt;=46",Base!$BV:$BV,"&lt;=60"),COUNTIFS(Base!$H:$H,$G$90,Base!$BV:$BV,"&gt;=46",Base!$BV:$BV,"&lt;=60"))</f>
        <v>0</v>
      </c>
      <c r="H94" s="36">
        <f>IF($B$1&lt;&gt;"",COUNTIFS(Base!$C:$C,Análise!$B$1,Base!$H:$H,$H$90,Base!$BV:$BV,"&gt;=46",Base!$BV:$BV,"&lt;=60"),COUNTIFS(Base!$H:$H,$H$90,Base!$BV:$BV,"&gt;=46",Base!$BV:$BV,"&lt;=60"))</f>
        <v>0</v>
      </c>
      <c r="I94" s="36">
        <f>IF($B$1&lt;&gt;"",COUNTIFS(Base!$C:$C,Análise!$B$1,Base!$H:$H,$I$90,Base!$BV:$BV,"&gt;=46",Base!$BV:$BV,"&lt;=60"),COUNTIFS(Base!$H:$H,$I$90,Base!$BV:$BV,"&gt;=46",Base!$BV:$BV,"&lt;=60"))</f>
        <v>0</v>
      </c>
      <c r="J94" s="36">
        <f>IF($B$1&lt;&gt;"",COUNTIFS(Base!$C:$C,Análise!$B$1,Base!$H:$H,$J$90,Base!$BV:$BV,"&gt;=46",Base!$BV:$BV,"&lt;=60"),COUNTIFS(Base!$H:$H,$J$90,Base!$BV:$BV,"&gt;=46",Base!$BV:$BV,"&lt;=60"))</f>
        <v>0</v>
      </c>
    </row>
    <row r="95" spans="1:24" x14ac:dyDescent="0.3">
      <c r="A95" s="30" t="s">
        <v>283</v>
      </c>
      <c r="B95" s="36">
        <f>IF($B$1&lt;&gt;"",COUNTIFS(Base!$C:$C,Análise!$B$1,Base!$H:$H,$B$90,Base!$BV:$BV,"&gt;60",Base!$BV:$BV,"&lt;=100"),COUNTIFS(Base!$H:$H,$B$90,Base!$BV:$BV,"&gt;60",Base!$BV:$BV,"&lt;=100"))</f>
        <v>0</v>
      </c>
      <c r="C95" s="36">
        <f>-IF($B$1&lt;&gt;"",COUNTIFS(Base!$C:$C,Análise!$B$1,Base!$H:$H,$C$90,Base!$BV:$BV,"&gt;60",Base!$BV:$BV,"&lt;=100"),COUNTIFS(Base!$H:$H,$C$90,Base!$BV:$BV,"&gt;60",Base!$BV:$BV,"&lt;=100"))</f>
        <v>0</v>
      </c>
      <c r="D95" s="36">
        <f>-IF($B$1&lt;&gt;"",COUNTIFS(Base!$C:$C,Análise!$B$1,Base!$H:$H,$D$90,Base!$BV:$BV,"&gt;60",Base!$BV:$BV,"&lt;=100"),COUNTIFS(Base!$H:$H,$D$90,Base!$BV:$BV,"&gt;60",Base!$BV:$BV,"&lt;=100"))</f>
        <v>0</v>
      </c>
      <c r="E95" s="36">
        <f>-IF($B$1&lt;&gt;"",COUNTIFS(Base!$C:$C,Análise!$B$1,Base!$H:$H,$E$90,Base!$BV:$BV,"&gt;60",Base!$BV:$BV,"&lt;=100"),COUNTIFS(Base!$H:$H,$E$90,Base!$BV:$BV,"&gt;60",Base!$BV:$BV,"&lt;=100"))</f>
        <v>0</v>
      </c>
      <c r="F95" s="36">
        <f>-IF($B$1&lt;&gt;"",COUNTIFS(Base!$C:$C,Análise!$B$1,Base!$H:$H,$F$90,Base!$BV:$BV,"&gt;60",Base!$BV:$BV,"&lt;=100"),COUNTIFS(Base!$H:$H,$F$90,Base!$BV:$BV,"&gt;60",Base!$BV:$BV,"&lt;=100"))</f>
        <v>0</v>
      </c>
      <c r="G95" s="36">
        <f>-IF($B$1&lt;&gt;"",COUNTIFS(Base!$C:$C,Análise!$B$1,Base!$H:$H,$G$90,Base!$BV:$BV,"&gt;60",Base!$BV:$BV,"&lt;=100"),COUNTIFS(Base!$H:$H,$G$90,Base!$BV:$BV,"&gt;60",Base!$BV:$BV,"&lt;=100"))</f>
        <v>0</v>
      </c>
      <c r="H95" s="36">
        <f>-IF($B$1&lt;&gt;"",COUNTIFS(Base!$C:$C,Análise!$B$1,Base!$H:$H,$H$90,Base!$BV:$BV,"&gt;60",Base!$BV:$BV,"&lt;=100"),COUNTIFS(Base!$H:$H,$H$90,Base!$BV:$BV,"&gt;60",Base!$BV:$BV,"&lt;=100"))</f>
        <v>0</v>
      </c>
      <c r="I95" s="36">
        <f>-IF($B$1&lt;&gt;"",COUNTIFS(Base!$C:$C,Análise!$B$1,Base!$H:$H,$I$90,Base!$BV:$BV,"&gt;60",Base!$BV:$BV,"&lt;=100"),COUNTIFS(Base!$H:$H,$I$90,Base!$BV:$BV,"&gt;60",Base!$BV:$BV,"&lt;=100"))</f>
        <v>0</v>
      </c>
      <c r="J95" s="36">
        <f>-IF($B$1&lt;&gt;"",COUNTIFS(Base!$C:$C,Análise!$B$1,Base!$H:$H,$J$90,Base!$BV:$BV,"&gt;60",Base!$BV:$BV,"&lt;=100"),COUNTIFS(Base!$H:$H,$J$90,Base!$BV:$BV,"&gt;60",Base!$BV:$BV,"&lt;=100"))</f>
        <v>0</v>
      </c>
    </row>
    <row r="96" spans="1:24" x14ac:dyDescent="0.3">
      <c r="A96" s="31" t="s">
        <v>154</v>
      </c>
      <c r="B96" s="31">
        <f t="shared" ref="B96:J96" si="0">SUM(B91:B95)</f>
        <v>0</v>
      </c>
      <c r="C96" s="31">
        <f t="shared" si="0"/>
        <v>0</v>
      </c>
      <c r="D96" s="31">
        <f t="shared" si="0"/>
        <v>0</v>
      </c>
      <c r="E96" s="31">
        <f t="shared" si="0"/>
        <v>0</v>
      </c>
      <c r="F96" s="31">
        <f t="shared" si="0"/>
        <v>0</v>
      </c>
      <c r="G96" s="31">
        <f t="shared" si="0"/>
        <v>0</v>
      </c>
      <c r="H96" s="31">
        <f t="shared" si="0"/>
        <v>0</v>
      </c>
      <c r="I96" s="31">
        <f t="shared" si="0"/>
        <v>0</v>
      </c>
      <c r="J96" s="31">
        <f t="shared" si="0"/>
        <v>0</v>
      </c>
    </row>
    <row r="97" spans="1:10" x14ac:dyDescent="0.3">
      <c r="F97" s="6"/>
      <c r="G97" s="6"/>
      <c r="H97" s="6"/>
      <c r="I97" s="6"/>
      <c r="J97" s="6"/>
    </row>
    <row r="98" spans="1:10" x14ac:dyDescent="0.3">
      <c r="F98" s="6"/>
      <c r="G98" s="6"/>
      <c r="H98" s="6"/>
      <c r="I98" s="6"/>
      <c r="J98" s="6"/>
    </row>
    <row r="99" spans="1:10" x14ac:dyDescent="0.3">
      <c r="F99" s="6"/>
      <c r="G99" s="6"/>
      <c r="H99" s="6"/>
      <c r="I99" s="6"/>
      <c r="J99" s="6"/>
    </row>
    <row r="100" spans="1:10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</row>
    <row r="101" spans="1:10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</row>
    <row r="111" spans="1:10" x14ac:dyDescent="0.3">
      <c r="A111" s="6"/>
      <c r="B111" s="6"/>
      <c r="C111" s="6"/>
    </row>
    <row r="112" spans="1:10" x14ac:dyDescent="0.3">
      <c r="C112" s="6"/>
      <c r="G112" s="6"/>
    </row>
    <row r="113" spans="3:13" x14ac:dyDescent="0.3">
      <c r="C113" s="6"/>
      <c r="G113" s="6"/>
    </row>
    <row r="115" spans="3:13" x14ac:dyDescent="0.3">
      <c r="F115" s="6"/>
      <c r="G115" s="6"/>
      <c r="H115" s="6"/>
    </row>
    <row r="116" spans="3:13" x14ac:dyDescent="0.3">
      <c r="F116" s="6"/>
      <c r="G116" s="6"/>
      <c r="H116" s="6"/>
    </row>
    <row r="126" spans="3:13" x14ac:dyDescent="0.3">
      <c r="H126" s="6"/>
      <c r="I126" s="6"/>
      <c r="J126" s="6"/>
      <c r="K126" s="6"/>
      <c r="L126" s="6"/>
      <c r="M126" s="6"/>
    </row>
    <row r="127" spans="3:13" x14ac:dyDescent="0.3">
      <c r="H127" s="6"/>
      <c r="I127" s="6"/>
      <c r="J127" s="6"/>
      <c r="K127" s="6"/>
      <c r="L127" s="6"/>
      <c r="M127" s="6"/>
    </row>
    <row r="146" spans="1:2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</row>
    <row r="147" spans="1:2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</row>
  </sheetData>
  <mergeCells count="3">
    <mergeCell ref="I2:J2"/>
    <mergeCell ref="I3:J3"/>
    <mergeCell ref="B3:E3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48E0F-2187-4467-96B8-7BB6007DB21A}">
  <sheetPr codeName="Planilha1"/>
  <dimension ref="A1:A5"/>
  <sheetViews>
    <sheetView workbookViewId="0">
      <selection activeCell="D41" sqref="D41"/>
    </sheetView>
  </sheetViews>
  <sheetFormatPr defaultRowHeight="14.4" x14ac:dyDescent="0.3"/>
  <sheetData>
    <row r="1" spans="1:1" x14ac:dyDescent="0.3">
      <c r="A1" t="s">
        <v>223</v>
      </c>
    </row>
    <row r="2" spans="1:1" x14ac:dyDescent="0.3">
      <c r="A2" t="s">
        <v>8</v>
      </c>
    </row>
    <row r="3" spans="1:1" x14ac:dyDescent="0.3">
      <c r="A3" t="s">
        <v>193</v>
      </c>
    </row>
    <row r="4" spans="1:1" x14ac:dyDescent="0.3">
      <c r="A4" t="s">
        <v>224</v>
      </c>
    </row>
    <row r="5" spans="1:1" x14ac:dyDescent="0.3">
      <c r="A5" t="s">
        <v>225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Dashboard</vt:lpstr>
      <vt:lpstr>Base</vt:lpstr>
      <vt:lpstr>Análise</vt:lpstr>
      <vt:lpstr>Lista</vt:lpstr>
      <vt:lpstr>Cursos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Silva</dc:creator>
  <cp:lastModifiedBy>Gustavo Silva</cp:lastModifiedBy>
  <dcterms:created xsi:type="dcterms:W3CDTF">2021-03-24T10:37:33Z</dcterms:created>
  <dcterms:modified xsi:type="dcterms:W3CDTF">2021-08-05T13:07:48Z</dcterms:modified>
</cp:coreProperties>
</file>